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defaultThemeVersion="124226"/>
  <bookViews>
    <workbookView xWindow="-120" yWindow="-120" windowWidth="20730" windowHeight="11160" activeTab="6"/>
  </bookViews>
  <sheets>
    <sheet name="Assumptions" sheetId="1" r:id="rId1"/>
    <sheet name="Normalized_IS" sheetId="2" r:id="rId2"/>
    <sheet name="Synergies" sheetId="3" r:id="rId3"/>
    <sheet name="Accretion_EBITDAR" sheetId="4" r:id="rId4"/>
    <sheet name="Valuation_EBITDAR" sheetId="5" r:id="rId5"/>
    <sheet name="DCF" sheetId="6" r:id="rId6"/>
    <sheet name="Sheet2" sheetId="7" r:id="rId7"/>
  </sheets>
  <calcPr calcId="124519"/>
</workbook>
</file>

<file path=xl/calcChain.xml><?xml version="1.0" encoding="utf-8"?>
<calcChain xmlns="http://schemas.openxmlformats.org/spreadsheetml/2006/main">
  <c r="F31" i="6"/>
  <c r="F30"/>
  <c r="F29"/>
  <c r="E31"/>
  <c r="E30"/>
  <c r="E29"/>
  <c r="D31"/>
  <c r="D30"/>
  <c r="D29"/>
  <c r="C31"/>
  <c r="C30"/>
  <c r="C29"/>
  <c r="E24"/>
  <c r="F24" s="1"/>
  <c r="D24"/>
  <c r="E25" s="1"/>
  <c r="F23"/>
  <c r="F25" s="1"/>
  <c r="E23"/>
  <c r="D23"/>
  <c r="D25" s="1"/>
  <c r="C25"/>
  <c r="B6" i="5"/>
  <c r="C6" s="1"/>
  <c r="D6" s="1"/>
  <c r="E6" s="1"/>
  <c r="E4"/>
  <c r="D4"/>
  <c r="C4"/>
  <c r="B4"/>
  <c r="C6" i="2"/>
  <c r="D6" s="1"/>
  <c r="E6" s="1"/>
  <c r="B3" i="3"/>
  <c r="B4"/>
  <c r="B5"/>
  <c r="C5" s="1"/>
  <c r="B2"/>
  <c r="C2" s="1"/>
  <c r="C3"/>
  <c r="C4"/>
  <c r="C4" i="2"/>
  <c r="D4" s="1"/>
  <c r="E4" s="1"/>
  <c r="F4" s="1"/>
  <c r="B3"/>
  <c r="B5" s="1"/>
  <c r="B7" s="1"/>
  <c r="C2"/>
  <c r="D2" s="1"/>
  <c r="E2" s="1"/>
  <c r="F2" s="1"/>
  <c r="F3" s="1"/>
  <c r="E8" l="1"/>
  <c r="H4" i="6" s="1"/>
  <c r="B3"/>
  <c r="G3" s="1"/>
  <c r="B4"/>
  <c r="G4" s="1"/>
  <c r="D8" i="2"/>
  <c r="H3" i="6" s="1"/>
  <c r="B5"/>
  <c r="G5" s="1"/>
  <c r="C8" i="2"/>
  <c r="H2" i="6" s="1"/>
  <c r="B2"/>
  <c r="G2" s="1"/>
  <c r="F8" i="2"/>
  <c r="H5" i="6" s="1"/>
  <c r="D5"/>
  <c r="D3"/>
  <c r="F6" i="2"/>
  <c r="F5"/>
  <c r="E3"/>
  <c r="E5" s="1"/>
  <c r="D3" i="5" s="1"/>
  <c r="D5" s="1"/>
  <c r="D7" s="1"/>
  <c r="D3" i="2"/>
  <c r="D5" s="1"/>
  <c r="C3" i="5" s="1"/>
  <c r="C5" s="1"/>
  <c r="C7" s="1"/>
  <c r="C3" i="2"/>
  <c r="C5" s="1"/>
  <c r="B3" i="5" s="1"/>
  <c r="B5" s="1"/>
  <c r="B7" s="1"/>
  <c r="C6" i="4" l="1"/>
  <c r="D6" s="1"/>
  <c r="E3" i="5"/>
  <c r="E5" s="1"/>
  <c r="E7" s="1"/>
  <c r="D2" i="6"/>
  <c r="D4"/>
  <c r="D7" i="2"/>
  <c r="C3" i="6" s="1"/>
  <c r="E3" s="1"/>
  <c r="F3" s="1"/>
  <c r="I3" s="1"/>
  <c r="E14" s="1"/>
  <c r="E15" s="1"/>
  <c r="C4" i="4"/>
  <c r="D4" s="1"/>
  <c r="C7" i="2"/>
  <c r="C2" i="6" s="1"/>
  <c r="C3" i="4"/>
  <c r="D3" s="1"/>
  <c r="E7" i="2"/>
  <c r="C4" i="6" s="1"/>
  <c r="C5" i="4"/>
  <c r="D5" s="1"/>
  <c r="F7" i="2"/>
  <c r="C5" i="6" s="1"/>
  <c r="E5" s="1"/>
  <c r="F5" s="1"/>
  <c r="I5" s="1"/>
  <c r="G16" s="1"/>
  <c r="G17" s="1"/>
  <c r="E4" l="1"/>
  <c r="F4" s="1"/>
  <c r="I4" s="1"/>
  <c r="F14" s="1"/>
  <c r="F15" s="1"/>
  <c r="G14"/>
  <c r="G15" s="1"/>
  <c r="E2"/>
  <c r="F2" s="1"/>
  <c r="I2" s="1"/>
  <c r="D14" s="1"/>
  <c r="D15" s="1"/>
  <c r="G18" l="1"/>
  <c r="G19" s="1"/>
</calcChain>
</file>

<file path=xl/sharedStrings.xml><?xml version="1.0" encoding="utf-8"?>
<sst xmlns="http://schemas.openxmlformats.org/spreadsheetml/2006/main" count="200" uniqueCount="151">
  <si>
    <t>Metric</t>
  </si>
  <si>
    <t>Value</t>
  </si>
  <si>
    <t>Notes</t>
  </si>
  <si>
    <t>Currency</t>
  </si>
  <si>
    <t>INR Cr</t>
  </si>
  <si>
    <t>All figures normalized</t>
  </si>
  <si>
    <t>Base Year</t>
  </si>
  <si>
    <t>FY24</t>
  </si>
  <si>
    <t>Post-normalization</t>
  </si>
  <si>
    <t>Fuel Cost % of Revenue</t>
  </si>
  <si>
    <t>Target EBITDAR Margin %</t>
  </si>
  <si>
    <t>Mature airline</t>
  </si>
  <si>
    <t>FY25</t>
  </si>
  <si>
    <t>FY26</t>
  </si>
  <si>
    <t>FY27</t>
  </si>
  <si>
    <t>FY28</t>
  </si>
  <si>
    <t>Revenue</t>
  </si>
  <si>
    <t>Fuel Cost</t>
  </si>
  <si>
    <t>Other Opex</t>
  </si>
  <si>
    <t>EBITDAR</t>
  </si>
  <si>
    <t>Lease Rentals</t>
  </si>
  <si>
    <t>EBITDA</t>
  </si>
  <si>
    <t>Year</t>
  </si>
  <si>
    <t>Synergy Capture %</t>
  </si>
  <si>
    <t>Cost Synergy Value</t>
  </si>
  <si>
    <t>Standalone EBITDAR</t>
  </si>
  <si>
    <t>Merged EBITDAR</t>
  </si>
  <si>
    <t>Accretion</t>
  </si>
  <si>
    <t>EBITDAR (Merged)</t>
  </si>
  <si>
    <t>Selected EV/EBITDAR Multiple</t>
  </si>
  <si>
    <t>Enterprise Value (INR Cr)</t>
  </si>
  <si>
    <t>Net Debt (Assumed)</t>
  </si>
  <si>
    <t>Equity Value</t>
  </si>
  <si>
    <t xml:space="preserve">Revenue growth </t>
  </si>
  <si>
    <t>(fixed escalation).</t>
  </si>
  <si>
    <t>growing ~5% YoY, lower than revenue to improve margins).</t>
  </si>
  <si>
    <t>-Revenue * Assumptions!B4 (but slightly adjusted downward to ~34% in later years, perhaps for efficiency gains).</t>
  </si>
  <si>
    <t>(10% growth assumption, compounded annually).</t>
  </si>
  <si>
    <t>Captures cost savings from the merger (e.g., combined operations, route optimization, bulk purchasing).</t>
  </si>
  <si>
    <t>base revenue scaled to INR 100,000 Cr for FY24, while actual combined FY24 revenues for Air India and Vistara were around INR 51,365 Cr for Air India Group and INR 15,191 Cr for Vistara, implying this is a hypothetical or forward-looking normalized view to simplify analysis)</t>
  </si>
  <si>
    <t xml:space="preserve">Synergy captured </t>
  </si>
  <si>
    <t>Assumed total potential synergies * Capture % (total potential seems ~10,000 Cr based on ramp-up; not explicitly stated but implied as capture % increases).</t>
  </si>
  <si>
    <t>Ramp-up: Starts low (20% in year 1) due to integration challenges, nearing full (85%) by FY28.</t>
  </si>
  <si>
    <t>Mergers save money—e.g., fewer duplicate staff, better fuel deals. Here, savings start at 2,000 Cr in FY25 and grow to 8,500 Cr by FY28 as the companies fully integrate. This is conservative; real mergers like Air India-Vistara (completed Nov 2024) targeted similar operational efficiencies.</t>
  </si>
  <si>
    <t>Compares standalone (pre-merger) vs. merged EBITDAR to show value creation</t>
  </si>
  <si>
    <t>Accretion (e.g., FY25): = Merged EBITDAR - Standalone EBITDAR.</t>
  </si>
  <si>
    <t>Assumed lower growth/margins without merger (e.g., ~10-14% YoY growth from implied FY24 base).</t>
  </si>
  <si>
    <t>Standalone</t>
  </si>
  <si>
    <t>Accretion" means the merger boosts earnings. Without it, EBITDAR would be lower (e.g., 25,000 Cr in FY25). With merger synergies, it's 27,450 Cr—adding 2,450 Cr value. This grows over time as synergies ramp up. Note: Accretion slightly exceeds synergies (e.g., 2,450 vs. 2,000 in FY25), suggesting extra benefits like revenue uplift.</t>
  </si>
  <si>
    <t>Values the merged entity using EV/EBITDAR multiples (common for airlines due to high leases).</t>
  </si>
  <si>
    <t>Enterprise Value (e.g., FY25): = EBITDAR * Multiple (27,450 * 6 = 164,700).</t>
  </si>
  <si>
    <t>Equity Value: = EV - Net Debt.</t>
  </si>
  <si>
    <t>Multiples: Increase over time (6x to 7.5x), assuming improved market perception post-merger.</t>
  </si>
  <si>
    <t>Net Debt: Decreases ~7-10% YoY (paydown from cash flows).</t>
  </si>
  <si>
    <t>FY</t>
  </si>
  <si>
    <t>In crores</t>
  </si>
  <si>
    <t>(This is likely the combined net debt of Air India + Vistara at the time of merger, adjusted/normalized for the model.)</t>
  </si>
  <si>
    <t>The model assumes the company repays around 3,000–4,000 Cr of net debt per year.</t>
  </si>
  <si>
    <t>EV is the total value of the business (equity + debt). We multiply EBITDAR by a multiple (like P/E but for airlines). Multiples rise as the company matures. Subtract debt for equity value. This projects growth from ~120k Cr equity in FY25 to ~300k Cr by FY28—optimistic but based on synergies. Real multiples for airlines average ~7-9x EV/EBITDAR (or 7-12x EV/EBITDA, since EBITDAR includes rent). The model's 6-7.5x is conservative compared to peers like American Airlines (8-12x EV/EBITDA). Actual post-merger valuation was ~INR 36,000-56,000 Cr equity in late 2024, so this model likely projects future upside.</t>
  </si>
  <si>
    <t>The original uses multiples, which are market-based but volatile. DCF estimates intrinsic value by projecting free cash flows (FCF) and discounting them</t>
  </si>
  <si>
    <t>Depreciation:</t>
  </si>
  <si>
    <t>of revenue (for owned assets).</t>
  </si>
  <si>
    <t>Capex</t>
  </si>
  <si>
    <t>of revenue (maintenance + growth).</t>
  </si>
  <si>
    <t>Change in Working Capital (ΔWC):</t>
  </si>
  <si>
    <t>of revenue growth (inventory/fuel prepays).</t>
  </si>
  <si>
    <t>Tax Rate</t>
  </si>
  <si>
    <t>(cost of capital; airlines ~8-12% due to risk).</t>
  </si>
  <si>
    <t>Terminal Growth</t>
  </si>
  <si>
    <t>(mature industry</t>
  </si>
  <si>
    <t>Dep</t>
  </si>
  <si>
    <t>EBIT</t>
  </si>
  <si>
    <t>NOPAT</t>
  </si>
  <si>
    <t>ΔWC</t>
  </si>
  <si>
    <t>FCF</t>
  </si>
  <si>
    <t>EBIT = EBITDA - Depreciation.</t>
  </si>
  <si>
    <t>NOPAT = EBIT * (1 - Tax).</t>
  </si>
  <si>
    <t>FCF = NOPAT + Depreciation - Capex - ΔWC.</t>
  </si>
  <si>
    <t>Terminal Value (after FY28) = FY28 FCF * (1 + Growth) / (WACC - Growth).</t>
  </si>
  <si>
    <t>EV = PV of FCFs (FY25-28) + PV of Terminal Value.</t>
  </si>
  <si>
    <t xml:space="preserve">Chane in WC </t>
  </si>
  <si>
    <t>Terminal value</t>
  </si>
  <si>
    <t>PV of FCF</t>
  </si>
  <si>
    <t>Total EV</t>
  </si>
  <si>
    <t>Method Used: EV / EBITDAR</t>
  </si>
  <si>
    <r>
      <t xml:space="preserve">This is </t>
    </r>
    <r>
      <rPr>
        <b/>
        <sz val="11"/>
        <color theme="1"/>
        <rFont val="Calibri"/>
        <family val="2"/>
        <scheme val="minor"/>
      </rPr>
      <t>industry-standard for airlines</t>
    </r>
    <r>
      <rPr>
        <sz val="11"/>
        <color theme="1"/>
        <rFont val="Calibri"/>
        <family val="2"/>
        <scheme val="minor"/>
      </rPr>
      <t xml:space="preserve"> because:</t>
    </r>
  </si>
  <si>
    <t>Neutralizes lease vs owned aircraft</t>
  </si>
  <si>
    <t>Avoids distorted depreciation &amp; interest</t>
  </si>
  <si>
    <t>Comparable across carriers</t>
  </si>
  <si>
    <t>integration phase</t>
  </si>
  <si>
    <t>stable, scaled airline</t>
  </si>
  <si>
    <t>Fuel % \ Multiple</t>
  </si>
  <si>
    <t>33% (Bull)</t>
  </si>
  <si>
    <t>35% (Base)</t>
  </si>
  <si>
    <t>Base</t>
  </si>
  <si>
    <t>37% (Bear)</t>
  </si>
  <si>
    <t>Sensitivity Analysis Fuel Cost % VS EV/EBITAR Mulitiple</t>
  </si>
  <si>
    <r>
      <t xml:space="preserve">he table you mentioned is a </t>
    </r>
    <r>
      <rPr>
        <b/>
        <sz val="11"/>
        <color theme="1"/>
        <rFont val="Calibri"/>
        <family val="2"/>
        <scheme val="minor"/>
      </rPr>
      <t>two-way sensitivity analysis</t>
    </r>
    <r>
      <rPr>
        <sz val="11"/>
        <color theme="1"/>
        <rFont val="Calibri"/>
        <family val="2"/>
        <scheme val="minor"/>
      </rPr>
      <t xml:space="preserve">. It shows how the </t>
    </r>
    <r>
      <rPr>
        <b/>
        <sz val="11"/>
        <color theme="1"/>
        <rFont val="Calibri"/>
        <family val="2"/>
        <scheme val="minor"/>
      </rPr>
      <t>Enterprise Value (EV)</t>
    </r>
    <r>
      <rPr>
        <sz val="11"/>
        <color theme="1"/>
        <rFont val="Calibri"/>
        <family val="2"/>
        <scheme val="minor"/>
      </rPr>
      <t xml:space="preserve"> of the merged Air India-Vistara changes under different scenarios for:</t>
    </r>
  </si>
  <si>
    <r>
      <t>Fuel Cost % of Revenue</t>
    </r>
    <r>
      <rPr>
        <sz val="11"/>
        <color theme="1"/>
        <rFont val="Calibri"/>
        <family val="2"/>
        <scheme val="minor"/>
      </rPr>
      <t>:</t>
    </r>
  </si>
  <si>
    <t>Bull (optimistic): 33% → lower fuel costs (e.g., due to cheaper oil, hedging, efficiency)</t>
  </si>
  <si>
    <t>Base: 35% → as per assumptions (industry average)</t>
  </si>
  <si>
    <t>Bear (pessimistic): 37% → higher fuel costs (e.g., oil price spike, no hedging)</t>
  </si>
  <si>
    <r>
      <t>EV/EBITDAR Multiple</t>
    </r>
    <r>
      <rPr>
        <sz val="11"/>
        <color theme="1"/>
        <rFont val="Calibri"/>
        <family val="2"/>
        <scheme val="minor"/>
      </rPr>
      <t>: 6.0x, 6.5x, 7.0x, 7.5x (applied to forward EBITDAR, typically the terminal/furthest year for highest impact)</t>
    </r>
  </si>
  <si>
    <t>The arrows (↑ EV, ↓ EV, Base) indicate direction relative to the Base case.</t>
  </si>
  <si>
    <t>AirLine and Vistara-</t>
  </si>
  <si>
    <t>Fixed Inputs from Model (FY28):</t>
  </si>
  <si>
    <t xml:space="preserve">Revenue </t>
  </si>
  <si>
    <t>Base EBITDAR</t>
  </si>
  <si>
    <t>Bull</t>
  </si>
  <si>
    <t>Bear</t>
  </si>
  <si>
    <t>Fuel Cost = - (Revenue × Fuel %)</t>
  </si>
  <si>
    <t>EBITDAR = Revenue + Fuel Cost + Other Opex (= Revenue - |Fuel Cost| - |Other Opex|)</t>
  </si>
  <si>
    <t>Impact per 1% fuel change: ~1,464 Cr swing in EBITDAR (since 1% of 146,410 revenue).</t>
  </si>
  <si>
    <t>6.0x</t>
  </si>
  <si>
    <t>6.5x</t>
  </si>
  <si>
    <t>7.0x</t>
  </si>
  <si>
    <t>7.5x</t>
  </si>
  <si>
    <r>
      <t>Calculate Enterprise Value (EV)</t>
    </r>
    <r>
      <rPr>
        <sz val="11"/>
        <color theme="1"/>
        <rFont val="Calibri"/>
        <family val="2"/>
        <scheme val="minor"/>
      </rPr>
      <t xml:space="preserve"> for each combination: EV = EBITDAR × Multiple (Rounded to nearest whole number for table)</t>
    </r>
  </si>
  <si>
    <r>
      <t>Interpret directions</t>
    </r>
    <r>
      <rPr>
        <sz val="11"/>
        <color theme="1"/>
        <rFont val="Calibri"/>
        <family val="2"/>
        <scheme val="minor"/>
      </rPr>
      <t>:</t>
    </r>
  </si>
  <si>
    <t>Bull (33%): Higher EBITDAR → ↑ EV vs. Base</t>
  </si>
  <si>
    <t>Bear (37%): Lower EBITDAR → ↓ EV vs. Base</t>
  </si>
  <si>
    <t>Multiple \ Fuel %</t>
  </si>
  <si>
    <r>
      <t>Bull</t>
    </r>
    <r>
      <rPr>
        <sz val="11"/>
        <color theme="1"/>
        <rFont val="Calibri"/>
        <family val="2"/>
        <scheme val="minor"/>
      </rPr>
      <t xml:space="preserve"> (low fuel) gives ~6-7% higher EV.</t>
    </r>
  </si>
  <si>
    <r>
      <t>Bear</t>
    </r>
    <r>
      <rPr>
        <sz val="11"/>
        <color theme="1"/>
        <rFont val="Calibri"/>
        <family val="2"/>
        <scheme val="minor"/>
      </rPr>
      <t xml:space="preserve"> (high fuel) gives ~6-7% lower EV.</t>
    </r>
  </si>
  <si>
    <t>Higher multiples make the good/bad scenarios swing more in absolute terms.</t>
  </si>
  <si>
    <t>Mean (Expected)</t>
  </si>
  <si>
    <t>Median</t>
  </si>
  <si>
    <t>10th Percentile (Downside risk)</t>
  </si>
  <si>
    <t>90th Percentile (Upside potential)</t>
  </si>
  <si>
    <t>EV Range (INR Cr)</t>
  </si>
  <si>
    <t>Number of Simulations</t>
  </si>
  <si>
    <t>249,060 – 254,184</t>
  </si>
  <si>
    <t>254,184 – 259,309</t>
  </si>
  <si>
    <t>259,309 – 264,433</t>
  </si>
  <si>
    <t>264,433 – 269,557</t>
  </si>
  <si>
    <t>269,557 – 274,682</t>
  </si>
  <si>
    <t>274,682 – 279,806</t>
  </si>
  <si>
    <t>279,806 – 284,930</t>
  </si>
  <si>
    <t>284,930 – 290,055</t>
  </si>
  <si>
    <t>290,055 – 295,179</t>
  </si>
  <si>
    <t>295,179 – 300,304</t>
  </si>
  <si>
    <t>300,304 – 305,428</t>
  </si>
  <si>
    <t>305,428 – 310,552</t>
  </si>
  <si>
    <t>310,552 – 315,677</t>
  </si>
  <si>
    <t>315,677 – 320,801</t>
  </si>
  <si>
    <t>320,801 – 325,925</t>
  </si>
  <si>
    <t>325,925 – 331,050</t>
  </si>
  <si>
    <t>331,050 – 336,174</t>
  </si>
  <si>
    <t>336,174 – 341,298</t>
  </si>
  <si>
    <t>341,298 – 346,423</t>
  </si>
  <si>
    <t>346,423 – 351,547</t>
  </si>
</sst>
</file>

<file path=xl/styles.xml><?xml version="1.0" encoding="utf-8"?>
<styleSheet xmlns="http://schemas.openxmlformats.org/spreadsheetml/2006/main">
  <numFmts count="2">
    <numFmt numFmtId="43" formatCode="_(* #,##0.00_);_(* \(#,##0.00\);_(* &quot;-&quot;??_);_(@_)"/>
    <numFmt numFmtId="169" formatCode="_(* #,##0_);_(* \(#,##0\);_(* &quot;-&quot;??_);_(@_)"/>
  </numFmts>
  <fonts count="4">
    <font>
      <sz val="11"/>
      <color theme="1"/>
      <name val="Calibri"/>
      <family val="2"/>
      <scheme val="minor"/>
    </font>
    <font>
      <sz val="11"/>
      <color theme="1"/>
      <name val="Calibri"/>
      <family val="2"/>
      <scheme val="minor"/>
    </font>
    <font>
      <b/>
      <sz val="11"/>
      <color theme="1"/>
      <name val="Calibri"/>
      <family val="2"/>
      <scheme val="minor"/>
    </font>
    <font>
      <b/>
      <sz val="13.5"/>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0" fontId="0" fillId="0" borderId="1" xfId="0" applyBorder="1"/>
    <xf numFmtId="43" fontId="0" fillId="0" borderId="1" xfId="1" applyFont="1" applyBorder="1"/>
    <xf numFmtId="43" fontId="0" fillId="0" borderId="0" xfId="0" applyNumberFormat="1"/>
    <xf numFmtId="0" fontId="0" fillId="0" borderId="0" xfId="0" applyBorder="1"/>
    <xf numFmtId="9" fontId="0" fillId="0" borderId="1" xfId="1" applyNumberFormat="1" applyFont="1" applyBorder="1"/>
    <xf numFmtId="9" fontId="0" fillId="0" borderId="0" xfId="0" applyNumberFormat="1"/>
    <xf numFmtId="43" fontId="0" fillId="0" borderId="0" xfId="1" applyFont="1" applyBorder="1"/>
    <xf numFmtId="9" fontId="0" fillId="0" borderId="0" xfId="0" applyNumberFormat="1" applyBorder="1"/>
    <xf numFmtId="9" fontId="0" fillId="0" borderId="0" xfId="2" applyFont="1" applyBorder="1" applyAlignment="1">
      <alignment horizontal="center"/>
    </xf>
    <xf numFmtId="0" fontId="0" fillId="0" borderId="0" xfId="0" applyBorder="1" applyAlignment="1">
      <alignment horizontal="center"/>
    </xf>
    <xf numFmtId="169" fontId="0" fillId="0" borderId="1" xfId="1" applyNumberFormat="1" applyFont="1" applyBorder="1"/>
    <xf numFmtId="169" fontId="0" fillId="0" borderId="0" xfId="0" applyNumberFormat="1"/>
    <xf numFmtId="43" fontId="2" fillId="0" borderId="1" xfId="1" applyFont="1" applyBorder="1"/>
    <xf numFmtId="3" fontId="0" fillId="0" borderId="0" xfId="0" applyNumberFormat="1"/>
    <xf numFmtId="0" fontId="2" fillId="0" borderId="0" xfId="0" applyFont="1" applyBorder="1"/>
    <xf numFmtId="0" fontId="2" fillId="0" borderId="0" xfId="0" applyFont="1"/>
    <xf numFmtId="0" fontId="0" fillId="0" borderId="0" xfId="0" applyAlignment="1">
      <alignment wrapText="1"/>
    </xf>
    <xf numFmtId="0" fontId="2" fillId="0" borderId="0" xfId="0" applyFont="1" applyAlignment="1">
      <alignment horizontal="center" vertical="center" wrapText="1"/>
    </xf>
    <xf numFmtId="3" fontId="0" fillId="0" borderId="0" xfId="0" applyNumberFormat="1" applyAlignment="1">
      <alignment wrapText="1"/>
    </xf>
    <xf numFmtId="4" fontId="0" fillId="0" borderId="0" xfId="0" applyNumberFormat="1"/>
    <xf numFmtId="4" fontId="0" fillId="0" borderId="0" xfId="0" applyNumberFormat="1" applyAlignment="1">
      <alignment wrapText="1"/>
    </xf>
    <xf numFmtId="0" fontId="0" fillId="0" borderId="2" xfId="0" applyFill="1" applyBorder="1"/>
    <xf numFmtId="43" fontId="0" fillId="0" borderId="0" xfId="0" applyNumberFormat="1" applyAlignment="1">
      <alignment wrapText="1"/>
    </xf>
    <xf numFmtId="43" fontId="0" fillId="0" borderId="0" xfId="1" applyFont="1"/>
    <xf numFmtId="43" fontId="2" fillId="0" borderId="0" xfId="1" applyFont="1"/>
    <xf numFmtId="0" fontId="2" fillId="0" borderId="0" xfId="0" applyFont="1" applyAlignment="1">
      <alignment wrapText="1"/>
    </xf>
    <xf numFmtId="0" fontId="3" fillId="0" borderId="0" xfId="0" applyFont="1"/>
    <xf numFmtId="0" fontId="0" fillId="0" borderId="0" xfId="0" applyAlignment="1">
      <alignment horizontal="left" indent="1"/>
    </xf>
    <xf numFmtId="0" fontId="2" fillId="0" borderId="0" xfId="0" applyFont="1" applyAlignment="1">
      <alignment horizontal="left" indent="1"/>
    </xf>
    <xf numFmtId="0" fontId="2" fillId="0" borderId="0" xfId="0" applyFont="1" applyAlignment="1">
      <alignment horizontal="left" indent="2"/>
    </xf>
    <xf numFmtId="43" fontId="0" fillId="0" borderId="1" xfId="0" applyNumberFormat="1" applyBorder="1"/>
    <xf numFmtId="0" fontId="0" fillId="0" borderId="3" xfId="0" applyBorder="1" applyAlignment="1">
      <alignment horizontal="center"/>
    </xf>
    <xf numFmtId="0" fontId="0" fillId="0" borderId="4" xfId="0" applyBorder="1" applyAlignment="1">
      <alignment horizontal="center"/>
    </xf>
    <xf numFmtId="43" fontId="0" fillId="0" borderId="3" xfId="1" applyFont="1" applyBorder="1"/>
    <xf numFmtId="43" fontId="0" fillId="0" borderId="3" xfId="0" applyNumberFormat="1" applyBorder="1"/>
    <xf numFmtId="9" fontId="0" fillId="0" borderId="1" xfId="0" applyNumberFormat="1" applyBorder="1" applyAlignment="1">
      <alignment horizontal="center"/>
    </xf>
    <xf numFmtId="43" fontId="0" fillId="0" borderId="1" xfId="0" applyNumberFormat="1" applyBorder="1" applyAlignment="1">
      <alignment horizontal="center"/>
    </xf>
    <xf numFmtId="9" fontId="0" fillId="0" borderId="3" xfId="0" applyNumberFormat="1" applyBorder="1" applyAlignment="1">
      <alignment horizontal="center"/>
    </xf>
    <xf numFmtId="43" fontId="0" fillId="0" borderId="3" xfId="0" applyNumberFormat="1" applyBorder="1" applyAlignment="1">
      <alignment horizontal="center"/>
    </xf>
    <xf numFmtId="9" fontId="0" fillId="0" borderId="0" xfId="0" applyNumberFormat="1" applyBorder="1" applyAlignment="1">
      <alignment horizontal="center"/>
    </xf>
    <xf numFmtId="43" fontId="0" fillId="0" borderId="0" xfId="0" applyNumberFormat="1"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wrapText="1"/>
    </xf>
    <xf numFmtId="0" fontId="0" fillId="0" borderId="1" xfId="0" applyBorder="1" applyAlignment="1">
      <alignment wrapText="1"/>
    </xf>
    <xf numFmtId="169" fontId="0" fillId="0" borderId="1" xfId="0" applyNumberFormat="1" applyBorder="1" applyAlignment="1">
      <alignment wrapText="1"/>
    </xf>
    <xf numFmtId="3" fontId="0" fillId="0" borderId="1" xfId="0" applyNumberFormat="1" applyBorder="1" applyAlignment="1">
      <alignment wrapText="1"/>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5</xdr:col>
      <xdr:colOff>2028825</xdr:colOff>
      <xdr:row>41</xdr:row>
      <xdr:rowOff>0</xdr:rowOff>
    </xdr:to>
    <xdr:pic>
      <xdr:nvPicPr>
        <xdr:cNvPr id="2049" name="Picture 1" descr="C:\Users\My PC\Downloads\chart (18).png"/>
        <xdr:cNvPicPr>
          <a:picLocks noChangeAspect="1" noChangeArrowheads="1"/>
        </xdr:cNvPicPr>
      </xdr:nvPicPr>
      <xdr:blipFill>
        <a:blip xmlns:r="http://schemas.openxmlformats.org/officeDocument/2006/relationships" r:embed="rId1"/>
        <a:srcRect/>
        <a:stretch>
          <a:fillRect/>
        </a:stretch>
      </xdr:blipFill>
      <xdr:spPr bwMode="auto">
        <a:xfrm>
          <a:off x="0" y="3429000"/>
          <a:ext cx="7877175" cy="4572000"/>
        </a:xfrm>
        <a:prstGeom prst="rect">
          <a:avLst/>
        </a:prstGeom>
        <a:noFill/>
      </xdr:spPr>
    </xdr:pic>
    <xdr:clientData/>
  </xdr:twoCellAnchor>
  <xdr:twoCellAnchor editAs="oneCell">
    <xdr:from>
      <xdr:col>4</xdr:col>
      <xdr:colOff>0</xdr:colOff>
      <xdr:row>49</xdr:row>
      <xdr:rowOff>0</xdr:rowOff>
    </xdr:from>
    <xdr:to>
      <xdr:col>7</xdr:col>
      <xdr:colOff>1619250</xdr:colOff>
      <xdr:row>73</xdr:row>
      <xdr:rowOff>0</xdr:rowOff>
    </xdr:to>
    <xdr:pic>
      <xdr:nvPicPr>
        <xdr:cNvPr id="2050" name="Picture 2" descr="C:\Users\My PC\Downloads\chart (19).png"/>
        <xdr:cNvPicPr>
          <a:picLocks noChangeAspect="1" noChangeArrowheads="1"/>
        </xdr:cNvPicPr>
      </xdr:nvPicPr>
      <xdr:blipFill>
        <a:blip xmlns:r="http://schemas.openxmlformats.org/officeDocument/2006/relationships" r:embed="rId2"/>
        <a:srcRect/>
        <a:stretch>
          <a:fillRect/>
        </a:stretch>
      </xdr:blipFill>
      <xdr:spPr bwMode="auto">
        <a:xfrm>
          <a:off x="3762375" y="9715500"/>
          <a:ext cx="7877175" cy="45720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57"/>
  <sheetViews>
    <sheetView showGridLines="0" workbookViewId="0">
      <selection activeCell="B56" sqref="B56"/>
    </sheetView>
  </sheetViews>
  <sheetFormatPr defaultRowHeight="15"/>
  <cols>
    <col min="1" max="1" width="23.42578125" bestFit="1" customWidth="1"/>
    <col min="2" max="2" width="11.5703125" bestFit="1" customWidth="1"/>
    <col min="3" max="3" width="18.28515625" customWidth="1"/>
  </cols>
  <sheetData>
    <row r="1" spans="1:4">
      <c r="A1" t="s">
        <v>104</v>
      </c>
    </row>
    <row r="2" spans="1:4">
      <c r="A2" t="s">
        <v>39</v>
      </c>
    </row>
    <row r="3" spans="1:4">
      <c r="A3" s="15" t="s">
        <v>0</v>
      </c>
      <c r="B3" s="4" t="s">
        <v>1</v>
      </c>
      <c r="C3" s="4" t="s">
        <v>2</v>
      </c>
    </row>
    <row r="4" spans="1:4">
      <c r="A4" s="15" t="s">
        <v>3</v>
      </c>
      <c r="B4" s="4" t="s">
        <v>4</v>
      </c>
      <c r="C4" s="4" t="s">
        <v>5</v>
      </c>
    </row>
    <row r="5" spans="1:4">
      <c r="A5" s="15" t="s">
        <v>6</v>
      </c>
      <c r="B5" s="4" t="s">
        <v>7</v>
      </c>
      <c r="C5" s="4" t="s">
        <v>8</v>
      </c>
    </row>
    <row r="6" spans="1:4">
      <c r="A6" s="4"/>
      <c r="B6" s="7">
        <v>100000</v>
      </c>
      <c r="C6" s="4"/>
    </row>
    <row r="7" spans="1:4">
      <c r="A7" s="15" t="s">
        <v>33</v>
      </c>
      <c r="B7" s="8">
        <v>0.1</v>
      </c>
      <c r="C7" s="4" t="s">
        <v>37</v>
      </c>
    </row>
    <row r="8" spans="1:4">
      <c r="A8" s="15" t="s">
        <v>18</v>
      </c>
      <c r="B8" s="8">
        <v>0.05</v>
      </c>
      <c r="C8" s="4" t="s">
        <v>35</v>
      </c>
    </row>
    <row r="9" spans="1:4">
      <c r="A9" s="15" t="s">
        <v>20</v>
      </c>
      <c r="B9" s="8">
        <v>0.04</v>
      </c>
      <c r="C9" s="4" t="s">
        <v>34</v>
      </c>
    </row>
    <row r="10" spans="1:4">
      <c r="A10" s="15" t="s">
        <v>9</v>
      </c>
      <c r="B10" s="9">
        <v>0.35</v>
      </c>
      <c r="C10" s="4" t="s">
        <v>36</v>
      </c>
    </row>
    <row r="11" spans="1:4">
      <c r="A11" s="15" t="s">
        <v>10</v>
      </c>
      <c r="B11" s="10">
        <v>22</v>
      </c>
      <c r="C11" s="4" t="s">
        <v>11</v>
      </c>
    </row>
    <row r="12" spans="1:4">
      <c r="A12" s="15"/>
      <c r="B12" s="4"/>
      <c r="C12" s="4"/>
    </row>
    <row r="13" spans="1:4">
      <c r="A13" s="15" t="s">
        <v>40</v>
      </c>
      <c r="B13" s="15" t="s">
        <v>12</v>
      </c>
      <c r="C13" s="8">
        <v>0.2</v>
      </c>
      <c r="D13" t="s">
        <v>41</v>
      </c>
    </row>
    <row r="14" spans="1:4">
      <c r="A14" s="4"/>
      <c r="B14" s="15" t="s">
        <v>13</v>
      </c>
      <c r="C14" s="8">
        <v>0.5</v>
      </c>
      <c r="D14" t="s">
        <v>42</v>
      </c>
    </row>
    <row r="15" spans="1:4">
      <c r="A15" s="4"/>
      <c r="B15" s="15" t="s">
        <v>14</v>
      </c>
      <c r="C15" s="8">
        <v>0.8</v>
      </c>
    </row>
    <row r="16" spans="1:4">
      <c r="A16" s="4"/>
      <c r="B16" s="15" t="s">
        <v>15</v>
      </c>
      <c r="C16" s="8">
        <v>0.85</v>
      </c>
    </row>
    <row r="18" spans="1:4">
      <c r="A18" s="16" t="s">
        <v>43</v>
      </c>
    </row>
    <row r="19" spans="1:4">
      <c r="A19" s="16" t="s">
        <v>52</v>
      </c>
    </row>
    <row r="20" spans="1:4">
      <c r="A20" s="16"/>
      <c r="B20" s="15" t="s">
        <v>12</v>
      </c>
      <c r="C20">
        <v>6</v>
      </c>
      <c r="D20" t="s">
        <v>89</v>
      </c>
    </row>
    <row r="21" spans="1:4">
      <c r="A21" s="16"/>
      <c r="B21" s="15" t="s">
        <v>13</v>
      </c>
      <c r="C21">
        <v>6.5</v>
      </c>
    </row>
    <row r="22" spans="1:4">
      <c r="A22" s="16"/>
      <c r="B22" s="15" t="s">
        <v>14</v>
      </c>
      <c r="C22">
        <v>7</v>
      </c>
    </row>
    <row r="23" spans="1:4">
      <c r="A23" s="16"/>
      <c r="B23" s="15" t="s">
        <v>15</v>
      </c>
      <c r="C23">
        <v>7.5</v>
      </c>
      <c r="D23" t="s">
        <v>90</v>
      </c>
    </row>
    <row r="24" spans="1:4">
      <c r="A24" s="16" t="s">
        <v>53</v>
      </c>
    </row>
    <row r="25" spans="1:4">
      <c r="A25" s="16" t="s">
        <v>55</v>
      </c>
      <c r="B25" t="s">
        <v>54</v>
      </c>
      <c r="C25" s="14">
        <v>45000</v>
      </c>
      <c r="D25" t="s">
        <v>56</v>
      </c>
    </row>
    <row r="27" spans="1:4">
      <c r="A27" t="s">
        <v>57</v>
      </c>
    </row>
    <row r="28" spans="1:4">
      <c r="B28" s="15" t="s">
        <v>12</v>
      </c>
      <c r="C28">
        <v>0</v>
      </c>
    </row>
    <row r="29" spans="1:4">
      <c r="A29" s="16" t="s">
        <v>55</v>
      </c>
      <c r="B29" s="15" t="s">
        <v>13</v>
      </c>
      <c r="C29">
        <v>3000</v>
      </c>
    </row>
    <row r="30" spans="1:4">
      <c r="B30" s="15" t="s">
        <v>14</v>
      </c>
      <c r="C30">
        <v>4000</v>
      </c>
    </row>
    <row r="31" spans="1:4">
      <c r="B31" s="15" t="s">
        <v>15</v>
      </c>
      <c r="C31">
        <v>4000</v>
      </c>
    </row>
    <row r="33" spans="1:5">
      <c r="A33" t="s">
        <v>59</v>
      </c>
    </row>
    <row r="34" spans="1:5">
      <c r="A34" t="s">
        <v>60</v>
      </c>
      <c r="C34" s="6">
        <v>0.05</v>
      </c>
      <c r="E34" t="s">
        <v>61</v>
      </c>
    </row>
    <row r="35" spans="1:5">
      <c r="A35" t="s">
        <v>62</v>
      </c>
      <c r="C35" s="6">
        <v>0.06</v>
      </c>
      <c r="E35" t="s">
        <v>63</v>
      </c>
    </row>
    <row r="36" spans="1:5">
      <c r="A36" t="s">
        <v>64</v>
      </c>
      <c r="C36" s="6">
        <v>0.03</v>
      </c>
      <c r="E36" t="s">
        <v>65</v>
      </c>
    </row>
    <row r="37" spans="1:5">
      <c r="A37" t="s">
        <v>66</v>
      </c>
      <c r="C37" s="6">
        <v>0.25</v>
      </c>
    </row>
    <row r="38" spans="1:5">
      <c r="A38" t="s">
        <v>66</v>
      </c>
      <c r="C38" s="6">
        <v>0.1</v>
      </c>
      <c r="D38" s="6"/>
      <c r="E38" t="s">
        <v>67</v>
      </c>
    </row>
    <row r="39" spans="1:5">
      <c r="A39" t="s">
        <v>68</v>
      </c>
      <c r="C39" s="6">
        <v>0.04</v>
      </c>
      <c r="E39" t="s">
        <v>69</v>
      </c>
    </row>
    <row r="41" spans="1:5" ht="18">
      <c r="A41" s="27" t="s">
        <v>84</v>
      </c>
    </row>
    <row r="43" spans="1:5">
      <c r="A43" t="s">
        <v>85</v>
      </c>
    </row>
    <row r="44" spans="1:5">
      <c r="A44" s="28" t="s">
        <v>86</v>
      </c>
    </row>
    <row r="45" spans="1:5">
      <c r="A45" s="28" t="s">
        <v>87</v>
      </c>
    </row>
    <row r="46" spans="1:5">
      <c r="A46" s="28" t="s">
        <v>88</v>
      </c>
    </row>
    <row r="48" spans="1:5">
      <c r="A48" s="29" t="s">
        <v>96</v>
      </c>
    </row>
    <row r="49" spans="1:1">
      <c r="A49" t="s">
        <v>97</v>
      </c>
    </row>
    <row r="50" spans="1:1">
      <c r="A50" s="28"/>
    </row>
    <row r="51" spans="1:1">
      <c r="A51" s="29" t="s">
        <v>98</v>
      </c>
    </row>
    <row r="52" spans="1:1">
      <c r="A52" s="30" t="s">
        <v>99</v>
      </c>
    </row>
    <row r="53" spans="1:1">
      <c r="A53" s="30" t="s">
        <v>100</v>
      </c>
    </row>
    <row r="54" spans="1:1">
      <c r="A54" s="30" t="s">
        <v>101</v>
      </c>
    </row>
    <row r="55" spans="1:1">
      <c r="A55" s="29" t="s">
        <v>102</v>
      </c>
    </row>
    <row r="57" spans="1:1">
      <c r="A57" t="s">
        <v>103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F8"/>
  <sheetViews>
    <sheetView showGridLines="0" workbookViewId="0">
      <selection activeCell="F4" sqref="F4"/>
    </sheetView>
  </sheetViews>
  <sheetFormatPr defaultRowHeight="15"/>
  <cols>
    <col min="1" max="1" width="13.140625" bestFit="1" customWidth="1"/>
    <col min="2" max="6" width="11.5703125" bestFit="1" customWidth="1"/>
  </cols>
  <sheetData>
    <row r="1" spans="1:6">
      <c r="A1" s="1"/>
      <c r="B1" s="1" t="s">
        <v>7</v>
      </c>
      <c r="C1" s="1" t="s">
        <v>12</v>
      </c>
      <c r="D1" s="1" t="s">
        <v>13</v>
      </c>
      <c r="E1" s="1" t="s">
        <v>14</v>
      </c>
      <c r="F1" s="1" t="s">
        <v>15</v>
      </c>
    </row>
    <row r="2" spans="1:6">
      <c r="A2" s="1" t="s">
        <v>16</v>
      </c>
      <c r="B2" s="2">
        <v>100000</v>
      </c>
      <c r="C2" s="2">
        <f>B2*(1+Assumptions!$B$7)</f>
        <v>110000.00000000001</v>
      </c>
      <c r="D2" s="2">
        <f>C2*(1+Assumptions!$B$7)</f>
        <v>121000.00000000003</v>
      </c>
      <c r="E2" s="2">
        <f>D2*(1+Assumptions!$B$7)</f>
        <v>133100.00000000003</v>
      </c>
      <c r="F2" s="2">
        <f>E2*(1+Assumptions!$B$7)</f>
        <v>146410.00000000006</v>
      </c>
    </row>
    <row r="3" spans="1:6">
      <c r="A3" s="1" t="s">
        <v>17</v>
      </c>
      <c r="B3" s="2">
        <f>-B2*Assumptions!$B$10</f>
        <v>-35000</v>
      </c>
      <c r="C3" s="2">
        <f>-C2*0.34</f>
        <v>-37400.000000000007</v>
      </c>
      <c r="D3" s="2">
        <f>-D2*0.34</f>
        <v>-41140.000000000015</v>
      </c>
      <c r="E3" s="2">
        <f>-E2*0.34</f>
        <v>-45254.000000000015</v>
      </c>
      <c r="F3" s="2">
        <f>-F2*0.34</f>
        <v>-49779.400000000023</v>
      </c>
    </row>
    <row r="4" spans="1:6">
      <c r="A4" s="1" t="s">
        <v>18</v>
      </c>
      <c r="B4" s="2">
        <v>-43000</v>
      </c>
      <c r="C4" s="2">
        <f>B4*(1+Assumptions!$B$8)</f>
        <v>-45150</v>
      </c>
      <c r="D4" s="2">
        <f>C4*(1+Assumptions!$B$8)</f>
        <v>-47407.5</v>
      </c>
      <c r="E4" s="2">
        <f>D4*(1+Assumptions!$B$8)</f>
        <v>-49777.875</v>
      </c>
      <c r="F4" s="2">
        <f>E4*(1+Assumptions!$B$8)</f>
        <v>-52266.768750000003</v>
      </c>
    </row>
    <row r="5" spans="1:6">
      <c r="A5" s="1" t="s">
        <v>19</v>
      </c>
      <c r="B5" s="2">
        <f>B2+B3+B4</f>
        <v>22000</v>
      </c>
      <c r="C5" s="2">
        <f t="shared" ref="C5:F5" si="0">C2+C3+C4</f>
        <v>27450</v>
      </c>
      <c r="D5" s="2">
        <f t="shared" si="0"/>
        <v>32452.500000000015</v>
      </c>
      <c r="E5" s="2">
        <f t="shared" si="0"/>
        <v>38068.125000000015</v>
      </c>
      <c r="F5" s="2">
        <f t="shared" si="0"/>
        <v>44363.831250000032</v>
      </c>
    </row>
    <row r="6" spans="1:6">
      <c r="A6" s="1" t="s">
        <v>20</v>
      </c>
      <c r="B6" s="2">
        <v>-12000</v>
      </c>
      <c r="C6" s="2">
        <f>B6*(1+Assumptions!$B$9)</f>
        <v>-12480</v>
      </c>
      <c r="D6" s="2">
        <f>C6*(1+Assumptions!$B$9)</f>
        <v>-12979.2</v>
      </c>
      <c r="E6" s="2">
        <f>D6*(1+Assumptions!$B$9)</f>
        <v>-13498.368</v>
      </c>
      <c r="F6" s="2">
        <f>E6*(1+Assumptions!$B$9)</f>
        <v>-14038.302720000002</v>
      </c>
    </row>
    <row r="7" spans="1:6">
      <c r="A7" s="1" t="s">
        <v>21</v>
      </c>
      <c r="B7" s="13">
        <f>B5+B6</f>
        <v>10000</v>
      </c>
      <c r="C7" s="13">
        <f t="shared" ref="C7:F7" si="1">C5+C6</f>
        <v>14970</v>
      </c>
      <c r="D7" s="13">
        <f t="shared" si="1"/>
        <v>19473.300000000014</v>
      </c>
      <c r="E7" s="13">
        <f t="shared" si="1"/>
        <v>24569.757000000012</v>
      </c>
      <c r="F7" s="13">
        <f t="shared" si="1"/>
        <v>30325.528530000032</v>
      </c>
    </row>
    <row r="8" spans="1:6">
      <c r="A8" s="22" t="s">
        <v>80</v>
      </c>
      <c r="C8" s="3">
        <f>C2-B2</f>
        <v>10000.000000000015</v>
      </c>
      <c r="D8" s="3">
        <f>D2-C2</f>
        <v>11000.000000000015</v>
      </c>
      <c r="E8" s="3">
        <f>E2-D2</f>
        <v>12100</v>
      </c>
      <c r="F8" s="3">
        <f>F2-E2</f>
        <v>13310.000000000029</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dimension ref="A1:D7"/>
  <sheetViews>
    <sheetView showGridLines="0" workbookViewId="0">
      <selection activeCell="C3" sqref="C3"/>
    </sheetView>
  </sheetViews>
  <sheetFormatPr defaultRowHeight="15"/>
  <cols>
    <col min="1" max="1" width="5" bestFit="1" customWidth="1"/>
    <col min="2" max="2" width="17.7109375" bestFit="1" customWidth="1"/>
    <col min="3" max="3" width="18.140625" bestFit="1" customWidth="1"/>
  </cols>
  <sheetData>
    <row r="1" spans="1:4">
      <c r="A1" s="1" t="s">
        <v>22</v>
      </c>
      <c r="B1" s="1" t="s">
        <v>23</v>
      </c>
      <c r="C1" s="1" t="s">
        <v>24</v>
      </c>
      <c r="D1">
        <v>10000</v>
      </c>
    </row>
    <row r="2" spans="1:4">
      <c r="A2" s="1" t="s">
        <v>12</v>
      </c>
      <c r="B2" s="5">
        <f>Assumptions!C13</f>
        <v>0.2</v>
      </c>
      <c r="C2" s="2">
        <f>B2*$D$1</f>
        <v>2000</v>
      </c>
    </row>
    <row r="3" spans="1:4">
      <c r="A3" s="1" t="s">
        <v>13</v>
      </c>
      <c r="B3" s="5">
        <f>Assumptions!C14</f>
        <v>0.5</v>
      </c>
      <c r="C3" s="2">
        <f t="shared" ref="C3:C5" si="0">B3*$D$1</f>
        <v>5000</v>
      </c>
    </row>
    <row r="4" spans="1:4">
      <c r="A4" s="1" t="s">
        <v>14</v>
      </c>
      <c r="B4" s="5">
        <f>Assumptions!C15</f>
        <v>0.8</v>
      </c>
      <c r="C4" s="2">
        <f t="shared" si="0"/>
        <v>8000</v>
      </c>
    </row>
    <row r="5" spans="1:4">
      <c r="A5" s="1" t="s">
        <v>15</v>
      </c>
      <c r="B5" s="5">
        <f>Assumptions!C16</f>
        <v>0.85</v>
      </c>
      <c r="C5" s="2">
        <f t="shared" si="0"/>
        <v>8500</v>
      </c>
    </row>
    <row r="6" spans="1:4">
      <c r="C6" s="3"/>
    </row>
    <row r="7" spans="1:4">
      <c r="B7" t="s">
        <v>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dimension ref="A1:E9"/>
  <sheetViews>
    <sheetView workbookViewId="0">
      <selection activeCell="D12" sqref="D12"/>
    </sheetView>
  </sheetViews>
  <sheetFormatPr defaultRowHeight="15"/>
  <cols>
    <col min="1" max="1" width="5" bestFit="1" customWidth="1"/>
    <col min="2" max="2" width="19.140625" bestFit="1" customWidth="1"/>
    <col min="3" max="3" width="15.85546875" bestFit="1" customWidth="1"/>
    <col min="4" max="4" width="9.5703125" bestFit="1" customWidth="1"/>
    <col min="5" max="5" width="10.28515625" bestFit="1" customWidth="1"/>
  </cols>
  <sheetData>
    <row r="1" spans="1:5">
      <c r="B1" t="s">
        <v>44</v>
      </c>
    </row>
    <row r="2" spans="1:5">
      <c r="A2" s="1" t="s">
        <v>22</v>
      </c>
      <c r="B2" s="1" t="s">
        <v>25</v>
      </c>
      <c r="C2" s="1" t="s">
        <v>26</v>
      </c>
      <c r="D2" s="1" t="s">
        <v>27</v>
      </c>
      <c r="E2" t="s">
        <v>45</v>
      </c>
    </row>
    <row r="3" spans="1:5">
      <c r="A3" s="1" t="s">
        <v>12</v>
      </c>
      <c r="B3" s="2">
        <v>25000</v>
      </c>
      <c r="C3" s="11">
        <f>Normalized_IS!C5</f>
        <v>27450</v>
      </c>
      <c r="D3" s="11">
        <f>C3-B3</f>
        <v>2450</v>
      </c>
      <c r="E3" s="12"/>
    </row>
    <row r="4" spans="1:5">
      <c r="A4" s="1" t="s">
        <v>13</v>
      </c>
      <c r="B4" s="2">
        <v>28000</v>
      </c>
      <c r="C4" s="11">
        <f>Normalized_IS!D5</f>
        <v>32452.500000000015</v>
      </c>
      <c r="D4" s="11">
        <f t="shared" ref="D4:D6" si="0">C4-B4</f>
        <v>4452.5000000000146</v>
      </c>
      <c r="E4" s="12"/>
    </row>
    <row r="5" spans="1:5">
      <c r="A5" s="1" t="s">
        <v>14</v>
      </c>
      <c r="B5" s="2">
        <v>32000</v>
      </c>
      <c r="C5" s="11">
        <f>Normalized_IS!E5</f>
        <v>38068.125000000015</v>
      </c>
      <c r="D5" s="11">
        <f t="shared" si="0"/>
        <v>6068.1250000000146</v>
      </c>
      <c r="E5" s="12"/>
    </row>
    <row r="6" spans="1:5">
      <c r="A6" s="1" t="s">
        <v>15</v>
      </c>
      <c r="B6" s="2">
        <v>36000</v>
      </c>
      <c r="C6" s="11">
        <f>Normalized_IS!F5</f>
        <v>44363.831250000032</v>
      </c>
      <c r="D6" s="11">
        <f t="shared" si="0"/>
        <v>8363.831250000032</v>
      </c>
      <c r="E6" s="12"/>
    </row>
    <row r="7" spans="1:5">
      <c r="B7" t="s">
        <v>47</v>
      </c>
    </row>
    <row r="8" spans="1:5">
      <c r="B8" t="s">
        <v>46</v>
      </c>
    </row>
    <row r="9" spans="1:5">
      <c r="B9" t="s">
        <v>48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dimension ref="A1:E12"/>
  <sheetViews>
    <sheetView showGridLines="0" workbookViewId="0">
      <selection activeCell="F12" sqref="F12"/>
    </sheetView>
  </sheetViews>
  <sheetFormatPr defaultRowHeight="15"/>
  <cols>
    <col min="1" max="1" width="28.28515625" bestFit="1" customWidth="1"/>
    <col min="2" max="5" width="11.5703125" bestFit="1" customWidth="1"/>
  </cols>
  <sheetData>
    <row r="1" spans="1:5">
      <c r="A1" t="s">
        <v>49</v>
      </c>
    </row>
    <row r="2" spans="1:5">
      <c r="A2" s="1" t="s">
        <v>0</v>
      </c>
      <c r="B2" s="1" t="s">
        <v>12</v>
      </c>
      <c r="C2" s="1" t="s">
        <v>13</v>
      </c>
      <c r="D2" s="1" t="s">
        <v>14</v>
      </c>
      <c r="E2" s="1" t="s">
        <v>15</v>
      </c>
    </row>
    <row r="3" spans="1:5">
      <c r="A3" s="1" t="s">
        <v>28</v>
      </c>
      <c r="B3" s="2">
        <f>Normalized_IS!C5</f>
        <v>27450</v>
      </c>
      <c r="C3" s="2">
        <f>Normalized_IS!D5</f>
        <v>32452.500000000015</v>
      </c>
      <c r="D3" s="2">
        <f>Normalized_IS!E5</f>
        <v>38068.125000000015</v>
      </c>
      <c r="E3" s="2">
        <f>Normalized_IS!F5</f>
        <v>44363.831250000032</v>
      </c>
    </row>
    <row r="4" spans="1:5">
      <c r="A4" s="1" t="s">
        <v>29</v>
      </c>
      <c r="B4" s="2">
        <f>Assumptions!C20</f>
        <v>6</v>
      </c>
      <c r="C4" s="2">
        <f>Assumptions!C21</f>
        <v>6.5</v>
      </c>
      <c r="D4" s="2">
        <f>Assumptions!C22</f>
        <v>7</v>
      </c>
      <c r="E4" s="2">
        <f>Assumptions!C23</f>
        <v>7.5</v>
      </c>
    </row>
    <row r="5" spans="1:5">
      <c r="A5" s="1" t="s">
        <v>30</v>
      </c>
      <c r="B5" s="2">
        <f>B3*B4</f>
        <v>164700</v>
      </c>
      <c r="C5" s="2">
        <f t="shared" ref="C5:E5" si="0">C3*C4</f>
        <v>210941.25000000009</v>
      </c>
      <c r="D5" s="2">
        <f t="shared" si="0"/>
        <v>266476.87500000012</v>
      </c>
      <c r="E5" s="2">
        <f t="shared" si="0"/>
        <v>332728.73437500023</v>
      </c>
    </row>
    <row r="6" spans="1:5">
      <c r="A6" s="1" t="s">
        <v>31</v>
      </c>
      <c r="B6" s="2">
        <f>Assumptions!C25</f>
        <v>45000</v>
      </c>
      <c r="C6" s="2">
        <f>B6-Assumptions!C29</f>
        <v>42000</v>
      </c>
      <c r="D6" s="2">
        <f>C6-Assumptions!C30</f>
        <v>38000</v>
      </c>
      <c r="E6" s="2">
        <f>D6-Assumptions!C31</f>
        <v>34000</v>
      </c>
    </row>
    <row r="7" spans="1:5">
      <c r="A7" s="1" t="s">
        <v>32</v>
      </c>
      <c r="B7" s="2">
        <f>B5-B6</f>
        <v>119700</v>
      </c>
      <c r="C7" s="2">
        <f t="shared" ref="C7:E7" si="1">C5-C6</f>
        <v>168941.25000000009</v>
      </c>
      <c r="D7" s="2">
        <f t="shared" si="1"/>
        <v>228476.87500000012</v>
      </c>
      <c r="E7" s="2">
        <f t="shared" si="1"/>
        <v>298728.73437500023</v>
      </c>
    </row>
    <row r="8" spans="1:5">
      <c r="A8" s="4"/>
      <c r="B8" s="7"/>
      <c r="C8" s="7"/>
      <c r="D8" s="7"/>
      <c r="E8" s="7"/>
    </row>
    <row r="9" spans="1:5">
      <c r="A9" t="s">
        <v>50</v>
      </c>
    </row>
    <row r="10" spans="1:5">
      <c r="A10" t="s">
        <v>51</v>
      </c>
    </row>
    <row r="12" spans="1:5" ht="345">
      <c r="A12" s="17" t="s">
        <v>58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dimension ref="A1:J37"/>
  <sheetViews>
    <sheetView showGridLines="0" workbookViewId="0">
      <selection activeCell="L14" sqref="L14"/>
    </sheetView>
  </sheetViews>
  <sheetFormatPr defaultRowHeight="15"/>
  <cols>
    <col min="3" max="3" width="11.5703125" bestFit="1" customWidth="1"/>
    <col min="4" max="4" width="12.28515625" bestFit="1" customWidth="1"/>
    <col min="5" max="5" width="11.28515625" bestFit="1" customWidth="1"/>
    <col min="6" max="7" width="11.5703125" bestFit="1" customWidth="1"/>
    <col min="8" max="8" width="10" bestFit="1" customWidth="1"/>
    <col min="10" max="10" width="10.5703125" bestFit="1" customWidth="1"/>
  </cols>
  <sheetData>
    <row r="1" spans="1:10">
      <c r="A1" s="18" t="s">
        <v>22</v>
      </c>
      <c r="B1" s="18" t="s">
        <v>16</v>
      </c>
      <c r="C1" s="18" t="s">
        <v>21</v>
      </c>
      <c r="D1" s="18" t="s">
        <v>70</v>
      </c>
      <c r="E1" s="18" t="s">
        <v>71</v>
      </c>
      <c r="F1" s="18" t="s">
        <v>72</v>
      </c>
      <c r="G1" s="18" t="s">
        <v>62</v>
      </c>
      <c r="H1" s="18" t="s">
        <v>73</v>
      </c>
      <c r="I1" s="18" t="s">
        <v>74</v>
      </c>
    </row>
    <row r="2" spans="1:10">
      <c r="A2" s="17" t="s">
        <v>12</v>
      </c>
      <c r="B2" s="19">
        <f>Normalized_IS!C2</f>
        <v>110000.00000000001</v>
      </c>
      <c r="C2" s="19">
        <f>Normalized_IS!C7</f>
        <v>14970</v>
      </c>
      <c r="D2" s="19">
        <f>B2*Assumptions!$C$34</f>
        <v>5500.0000000000009</v>
      </c>
      <c r="E2" s="19">
        <f>C2-D2</f>
        <v>9470</v>
      </c>
      <c r="F2" s="21">
        <f>E2*(1-Assumptions!$C$37)</f>
        <v>7102.5</v>
      </c>
      <c r="G2" s="19">
        <f>B2*Assumptions!$C$35</f>
        <v>6600.0000000000009</v>
      </c>
      <c r="H2" s="23">
        <f>Normalized_IS!C8*Assumptions!$C$36</f>
        <v>300.0000000000004</v>
      </c>
      <c r="I2" s="21">
        <f>F2+D2-G2-H2</f>
        <v>5702.4999999999991</v>
      </c>
      <c r="J2" s="3"/>
    </row>
    <row r="3" spans="1:10">
      <c r="A3" s="17" t="s">
        <v>13</v>
      </c>
      <c r="B3" s="19">
        <f>Normalized_IS!D2</f>
        <v>121000.00000000003</v>
      </c>
      <c r="C3" s="19">
        <f>Normalized_IS!D7</f>
        <v>19473.300000000014</v>
      </c>
      <c r="D3" s="19">
        <f>B3*Assumptions!$C$34</f>
        <v>6050.0000000000018</v>
      </c>
      <c r="E3" s="19">
        <f t="shared" ref="E3:E5" si="0">C3-D3</f>
        <v>13423.300000000012</v>
      </c>
      <c r="F3" s="21">
        <f>E3*(1-Assumptions!$C$37)</f>
        <v>10067.475000000009</v>
      </c>
      <c r="G3" s="19">
        <f>B3*Assumptions!$C$35</f>
        <v>7260.0000000000018</v>
      </c>
      <c r="H3" s="23">
        <f>Normalized_IS!D8*Assumptions!$C$36</f>
        <v>330.0000000000004</v>
      </c>
      <c r="I3" s="21">
        <f t="shared" ref="I3:I5" si="1">F3+D3-G3-H3</f>
        <v>8527.4750000000095</v>
      </c>
      <c r="J3" s="3"/>
    </row>
    <row r="4" spans="1:10">
      <c r="A4" s="17" t="s">
        <v>14</v>
      </c>
      <c r="B4" s="19">
        <f>Normalized_IS!E2</f>
        <v>133100.00000000003</v>
      </c>
      <c r="C4" s="19">
        <f>Normalized_IS!E7</f>
        <v>24569.757000000012</v>
      </c>
      <c r="D4" s="19">
        <f>B4*Assumptions!$C$34</f>
        <v>6655.0000000000018</v>
      </c>
      <c r="E4" s="19">
        <f t="shared" si="0"/>
        <v>17914.757000000012</v>
      </c>
      <c r="F4" s="21">
        <f>E4*(1-Assumptions!$C$37)</f>
        <v>13436.067750000009</v>
      </c>
      <c r="G4" s="19">
        <f>B4*Assumptions!$C$35</f>
        <v>7986.0000000000018</v>
      </c>
      <c r="H4" s="23">
        <f>Normalized_IS!E8*Assumptions!$C$36</f>
        <v>363</v>
      </c>
      <c r="I4" s="21">
        <f t="shared" si="1"/>
        <v>11742.067750000007</v>
      </c>
      <c r="J4" s="3"/>
    </row>
    <row r="5" spans="1:10">
      <c r="A5" s="17" t="s">
        <v>15</v>
      </c>
      <c r="B5" s="19">
        <f>Normalized_IS!F2</f>
        <v>146410.00000000006</v>
      </c>
      <c r="C5" s="19">
        <f>Normalized_IS!F7</f>
        <v>30325.528530000032</v>
      </c>
      <c r="D5" s="19">
        <f>B5*Assumptions!$C$34</f>
        <v>7320.5000000000036</v>
      </c>
      <c r="E5" s="19">
        <f t="shared" si="0"/>
        <v>23005.028530000029</v>
      </c>
      <c r="F5" s="21">
        <f>E5*(1-Assumptions!$C$37)</f>
        <v>17253.771397500022</v>
      </c>
      <c r="G5" s="19">
        <f>B5*Assumptions!$C$35</f>
        <v>8784.600000000004</v>
      </c>
      <c r="H5" s="23">
        <f>Normalized_IS!F8*Assumptions!$C$36</f>
        <v>399.30000000000086</v>
      </c>
      <c r="I5" s="21">
        <f t="shared" si="1"/>
        <v>15390.371397500021</v>
      </c>
      <c r="J5" s="3"/>
    </row>
    <row r="7" spans="1:10">
      <c r="A7" t="s">
        <v>75</v>
      </c>
    </row>
    <row r="8" spans="1:10">
      <c r="A8" t="s">
        <v>76</v>
      </c>
    </row>
    <row r="9" spans="1:10">
      <c r="A9" t="s">
        <v>77</v>
      </c>
    </row>
    <row r="10" spans="1:10">
      <c r="A10" t="s">
        <v>78</v>
      </c>
    </row>
    <row r="11" spans="1:10">
      <c r="A11" t="s">
        <v>79</v>
      </c>
    </row>
    <row r="13" spans="1:10">
      <c r="D13" s="26" t="s">
        <v>12</v>
      </c>
      <c r="E13" s="26" t="s">
        <v>13</v>
      </c>
      <c r="F13" s="26" t="s">
        <v>14</v>
      </c>
      <c r="G13" s="26" t="s">
        <v>15</v>
      </c>
    </row>
    <row r="14" spans="1:10">
      <c r="B14" s="16" t="s">
        <v>82</v>
      </c>
      <c r="D14" s="20">
        <f>I2</f>
        <v>5702.4999999999991</v>
      </c>
      <c r="E14" s="20">
        <f>I3</f>
        <v>8527.4750000000095</v>
      </c>
      <c r="F14" s="20">
        <f>I4</f>
        <v>11742.067750000007</v>
      </c>
      <c r="G14" s="20">
        <f>I5</f>
        <v>15390.371397500021</v>
      </c>
    </row>
    <row r="15" spans="1:10">
      <c r="B15" s="16"/>
      <c r="D15">
        <f>D14/(1+Assumptions!C38)^1</f>
        <v>5184.0909090909081</v>
      </c>
      <c r="E15">
        <f>E14/(1+Assumptions!$C$38)^2</f>
        <v>7047.5000000000064</v>
      </c>
      <c r="F15">
        <f>F14/(1+Assumptions!$C$38)^3</f>
        <v>8821.9892937640907</v>
      </c>
      <c r="G15">
        <f>G14/(1+Assumptions!$C$38)^4</f>
        <v>10511.830747558239</v>
      </c>
    </row>
    <row r="16" spans="1:10">
      <c r="B16" s="16" t="s">
        <v>81</v>
      </c>
      <c r="G16" s="24">
        <f>DCF!I5*(1+Assumptions!C39)/(Assumptions!C38-Assumptions!C39)</f>
        <v>266766.43755666702</v>
      </c>
    </row>
    <row r="17" spans="1:9">
      <c r="B17" s="16"/>
      <c r="G17" s="24">
        <f>G16/(1.1)^4</f>
        <v>182205.06629100945</v>
      </c>
    </row>
    <row r="18" spans="1:9">
      <c r="B18" s="16"/>
      <c r="G18" s="25">
        <f>D15+E15+F15+G15</f>
        <v>31565.410950413243</v>
      </c>
    </row>
    <row r="19" spans="1:9">
      <c r="G19" s="3">
        <f>G17+G18</f>
        <v>213770.47724142269</v>
      </c>
    </row>
    <row r="20" spans="1:9">
      <c r="B20" t="s">
        <v>83</v>
      </c>
    </row>
    <row r="21" spans="1:9">
      <c r="D21" t="s">
        <v>108</v>
      </c>
      <c r="E21" t="s">
        <v>94</v>
      </c>
      <c r="F21" t="s">
        <v>109</v>
      </c>
    </row>
    <row r="22" spans="1:9">
      <c r="A22" t="s">
        <v>105</v>
      </c>
      <c r="D22" s="36">
        <v>0.33</v>
      </c>
      <c r="E22" s="38">
        <v>0.35</v>
      </c>
      <c r="F22" s="36">
        <v>0.37</v>
      </c>
      <c r="G22" s="40"/>
    </row>
    <row r="23" spans="1:9">
      <c r="A23" s="32" t="s">
        <v>106</v>
      </c>
      <c r="B23" s="33"/>
      <c r="C23" s="34">
        <v>146410</v>
      </c>
      <c r="D23" s="37">
        <f>-C23*D22</f>
        <v>-48315.3</v>
      </c>
      <c r="E23" s="39">
        <f>-C23*E22</f>
        <v>-51243.5</v>
      </c>
      <c r="F23" s="37">
        <f>-C23*F22</f>
        <v>-54171.7</v>
      </c>
      <c r="G23" s="41"/>
      <c r="I23" t="s">
        <v>110</v>
      </c>
    </row>
    <row r="24" spans="1:9">
      <c r="A24" s="1" t="s">
        <v>18</v>
      </c>
      <c r="B24" s="1"/>
      <c r="C24" s="34">
        <v>-52266.768750000003</v>
      </c>
      <c r="D24" s="31">
        <f>C24</f>
        <v>-52266.768750000003</v>
      </c>
      <c r="E24" s="31">
        <f t="shared" ref="E24:F24" si="2">D24</f>
        <v>-52266.768750000003</v>
      </c>
      <c r="F24" s="31">
        <f t="shared" si="2"/>
        <v>-52266.768750000003</v>
      </c>
      <c r="G24" s="4"/>
      <c r="I24" t="s">
        <v>111</v>
      </c>
    </row>
    <row r="25" spans="1:9">
      <c r="A25" s="1" t="s">
        <v>107</v>
      </c>
      <c r="B25" s="1"/>
      <c r="C25" s="35">
        <f>Normalized_IS!F5</f>
        <v>44363.831250000032</v>
      </c>
      <c r="D25" s="31">
        <f>$C$23+D23+$D$24</f>
        <v>45827.931249999994</v>
      </c>
      <c r="E25" s="31">
        <f t="shared" ref="E25:F25" si="3">$C$23+E23+$D$24</f>
        <v>42899.731249999997</v>
      </c>
      <c r="F25" s="31">
        <f t="shared" si="3"/>
        <v>39971.53125</v>
      </c>
      <c r="G25" s="4"/>
      <c r="I25" t="s">
        <v>112</v>
      </c>
    </row>
    <row r="28" spans="1:9" ht="30">
      <c r="A28" s="42" t="s">
        <v>91</v>
      </c>
      <c r="B28" s="42"/>
      <c r="C28" s="42">
        <v>6</v>
      </c>
      <c r="D28" s="42">
        <v>6.5</v>
      </c>
      <c r="E28" s="42">
        <v>7</v>
      </c>
      <c r="F28" s="42">
        <v>7.5</v>
      </c>
    </row>
    <row r="29" spans="1:9" ht="30">
      <c r="A29" s="43"/>
      <c r="B29" s="43" t="s">
        <v>92</v>
      </c>
      <c r="C29" s="45">
        <f>D25*$C$28</f>
        <v>274967.58749999997</v>
      </c>
      <c r="D29" s="45">
        <f>D25*$D$28</f>
        <v>297881.55312499998</v>
      </c>
      <c r="E29" s="45">
        <f>D25*$E$28</f>
        <v>320795.51874999993</v>
      </c>
      <c r="F29" s="45">
        <f>D25*F28</f>
        <v>343709.48437499994</v>
      </c>
      <c r="G29" s="3"/>
    </row>
    <row r="30" spans="1:9" ht="30">
      <c r="A30" s="43"/>
      <c r="B30" s="43" t="s">
        <v>93</v>
      </c>
      <c r="C30" s="45">
        <f>E25*$C$28</f>
        <v>257398.38749999998</v>
      </c>
      <c r="D30" s="45">
        <f>E25*$D$28</f>
        <v>278848.25312499999</v>
      </c>
      <c r="E30" s="45">
        <f>E25*$E$28</f>
        <v>300298.11874999997</v>
      </c>
      <c r="F30" s="45">
        <f>E25*F28</f>
        <v>321747.984375</v>
      </c>
      <c r="G30" s="3"/>
    </row>
    <row r="31" spans="1:9" ht="30">
      <c r="A31" s="43"/>
      <c r="B31" s="43" t="s">
        <v>95</v>
      </c>
      <c r="C31" s="45">
        <f>F25*$C$28</f>
        <v>239829.1875</v>
      </c>
      <c r="D31" s="45">
        <f>F25*$D$28</f>
        <v>259814.953125</v>
      </c>
      <c r="E31" s="45">
        <f>F25*E28</f>
        <v>279800.71875</v>
      </c>
      <c r="F31" s="45">
        <f>F25*F28</f>
        <v>299786.484375</v>
      </c>
      <c r="G31" s="3"/>
    </row>
    <row r="33" spans="2:2">
      <c r="B33" s="16" t="s">
        <v>117</v>
      </c>
    </row>
    <row r="34" spans="2:2">
      <c r="B34" s="16" t="s">
        <v>118</v>
      </c>
    </row>
    <row r="35" spans="2:2">
      <c r="B35" s="28"/>
    </row>
    <row r="36" spans="2:2">
      <c r="B36" s="28" t="s">
        <v>119</v>
      </c>
    </row>
    <row r="37" spans="2:2">
      <c r="B37" s="28" t="s">
        <v>120</v>
      </c>
    </row>
  </sheetData>
  <mergeCells count="1">
    <mergeCell ref="A23:B2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2:D66"/>
  <sheetViews>
    <sheetView tabSelected="1" workbookViewId="0">
      <selection activeCell="F14" sqref="F14"/>
    </sheetView>
  </sheetViews>
  <sheetFormatPr defaultColWidth="31.28515625" defaultRowHeight="15"/>
  <cols>
    <col min="1" max="1" width="23.85546875" customWidth="1"/>
    <col min="2" max="2" width="11.42578125" customWidth="1"/>
    <col min="3" max="3" width="9.85546875" customWidth="1"/>
    <col min="4" max="4" width="11.28515625" customWidth="1"/>
  </cols>
  <sheetData>
    <row r="2" spans="1:4">
      <c r="A2" s="42" t="s">
        <v>121</v>
      </c>
      <c r="B2" s="42" t="s">
        <v>92</v>
      </c>
      <c r="C2" s="42" t="s">
        <v>93</v>
      </c>
      <c r="D2" s="42" t="s">
        <v>95</v>
      </c>
    </row>
    <row r="3" spans="1:4">
      <c r="A3" s="43" t="s">
        <v>113</v>
      </c>
      <c r="B3" s="46">
        <v>274974</v>
      </c>
      <c r="C3" s="46">
        <v>257400</v>
      </c>
      <c r="D3" s="46">
        <v>239832</v>
      </c>
    </row>
    <row r="4" spans="1:4">
      <c r="A4" s="43" t="s">
        <v>114</v>
      </c>
      <c r="B4" s="46">
        <v>297888</v>
      </c>
      <c r="C4" s="46">
        <v>278850</v>
      </c>
      <c r="D4" s="46">
        <v>259818</v>
      </c>
    </row>
    <row r="5" spans="1:4">
      <c r="A5" s="43" t="s">
        <v>115</v>
      </c>
      <c r="B5" s="46">
        <v>320803</v>
      </c>
      <c r="C5" s="46">
        <v>300300</v>
      </c>
      <c r="D5" s="46">
        <v>279804</v>
      </c>
    </row>
    <row r="6" spans="1:4">
      <c r="A6" s="43" t="s">
        <v>116</v>
      </c>
      <c r="B6" s="46">
        <v>343718</v>
      </c>
      <c r="C6" s="46">
        <v>321750</v>
      </c>
      <c r="D6" s="46">
        <v>299790</v>
      </c>
    </row>
    <row r="7" spans="1:4">
      <c r="A7" s="16" t="s">
        <v>122</v>
      </c>
    </row>
    <row r="8" spans="1:4">
      <c r="A8" s="16" t="s">
        <v>123</v>
      </c>
    </row>
    <row r="9" spans="1:4">
      <c r="A9" t="s">
        <v>124</v>
      </c>
    </row>
    <row r="11" spans="1:4">
      <c r="A11" s="42" t="s">
        <v>0</v>
      </c>
      <c r="B11" s="42" t="s">
        <v>30</v>
      </c>
    </row>
    <row r="12" spans="1:4">
      <c r="A12" s="44" t="s">
        <v>125</v>
      </c>
      <c r="B12" s="46">
        <v>300346</v>
      </c>
    </row>
    <row r="13" spans="1:4">
      <c r="A13" s="44" t="s">
        <v>126</v>
      </c>
      <c r="B13" s="46">
        <v>300357</v>
      </c>
    </row>
    <row r="14" spans="1:4">
      <c r="A14" s="44" t="s">
        <v>127</v>
      </c>
      <c r="B14" s="46">
        <v>274041</v>
      </c>
    </row>
    <row r="15" spans="1:4" ht="30">
      <c r="A15" s="44" t="s">
        <v>128</v>
      </c>
      <c r="B15" s="46">
        <v>326792</v>
      </c>
    </row>
    <row r="46" spans="1:2" ht="30">
      <c r="A46" s="43" t="s">
        <v>129</v>
      </c>
      <c r="B46" s="43" t="s">
        <v>130</v>
      </c>
    </row>
    <row r="47" spans="1:2">
      <c r="A47" s="43" t="s">
        <v>131</v>
      </c>
      <c r="B47" s="43">
        <v>123</v>
      </c>
    </row>
    <row r="48" spans="1:2">
      <c r="A48" s="43" t="s">
        <v>132</v>
      </c>
      <c r="B48" s="43">
        <v>114</v>
      </c>
    </row>
    <row r="49" spans="1:2">
      <c r="A49" s="43" t="s">
        <v>133</v>
      </c>
      <c r="B49" s="43">
        <v>156</v>
      </c>
    </row>
    <row r="50" spans="1:2">
      <c r="A50" s="43" t="s">
        <v>134</v>
      </c>
      <c r="B50" s="43">
        <v>283</v>
      </c>
    </row>
    <row r="51" spans="1:2">
      <c r="A51" s="43" t="s">
        <v>135</v>
      </c>
      <c r="B51" s="43">
        <v>384</v>
      </c>
    </row>
    <row r="52" spans="1:2">
      <c r="A52" s="43" t="s">
        <v>136</v>
      </c>
      <c r="B52" s="43">
        <v>533</v>
      </c>
    </row>
    <row r="53" spans="1:2">
      <c r="A53" s="43" t="s">
        <v>137</v>
      </c>
      <c r="B53" s="43">
        <v>644</v>
      </c>
    </row>
    <row r="54" spans="1:2">
      <c r="A54" s="43" t="s">
        <v>138</v>
      </c>
      <c r="B54" s="43">
        <v>826</v>
      </c>
    </row>
    <row r="55" spans="1:2">
      <c r="A55" s="43" t="s">
        <v>139</v>
      </c>
      <c r="B55" s="43">
        <v>937</v>
      </c>
    </row>
    <row r="56" spans="1:2">
      <c r="A56" s="43" t="s">
        <v>140</v>
      </c>
      <c r="B56" s="43">
        <v>992</v>
      </c>
    </row>
    <row r="57" spans="1:2">
      <c r="A57" s="43" t="s">
        <v>141</v>
      </c>
      <c r="B57" s="43">
        <v>1000</v>
      </c>
    </row>
    <row r="58" spans="1:2">
      <c r="A58" s="43" t="s">
        <v>142</v>
      </c>
      <c r="B58" s="43">
        <v>914</v>
      </c>
    </row>
    <row r="59" spans="1:2">
      <c r="A59" s="43" t="s">
        <v>143</v>
      </c>
      <c r="B59" s="43">
        <v>801</v>
      </c>
    </row>
    <row r="60" spans="1:2">
      <c r="A60" s="43" t="s">
        <v>144</v>
      </c>
      <c r="B60" s="43">
        <v>706</v>
      </c>
    </row>
    <row r="61" spans="1:2">
      <c r="A61" s="43" t="s">
        <v>145</v>
      </c>
      <c r="B61" s="43">
        <v>519</v>
      </c>
    </row>
    <row r="62" spans="1:2">
      <c r="A62" s="43" t="s">
        <v>146</v>
      </c>
      <c r="B62" s="43">
        <v>390</v>
      </c>
    </row>
    <row r="63" spans="1:2">
      <c r="A63" s="43" t="s">
        <v>147</v>
      </c>
      <c r="B63" s="43">
        <v>259</v>
      </c>
    </row>
    <row r="64" spans="1:2">
      <c r="A64" s="43" t="s">
        <v>148</v>
      </c>
      <c r="B64" s="43">
        <v>189</v>
      </c>
    </row>
    <row r="65" spans="1:2">
      <c r="A65" s="43" t="s">
        <v>149</v>
      </c>
      <c r="B65" s="43">
        <v>118</v>
      </c>
    </row>
    <row r="66" spans="1:2">
      <c r="A66" s="43" t="s">
        <v>150</v>
      </c>
      <c r="B66" s="43">
        <v>112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Assumptions</vt:lpstr>
      <vt:lpstr>Normalized_IS</vt:lpstr>
      <vt:lpstr>Synergies</vt:lpstr>
      <vt:lpstr>Accretion_EBITDAR</vt:lpstr>
      <vt:lpstr>Valuation_EBITDAR</vt:lpstr>
      <vt:lpstr>DCF</vt:lpstr>
      <vt:lpstr>Sheet2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 PC</cp:lastModifiedBy>
  <dcterms:created xsi:type="dcterms:W3CDTF">2025-12-27T14:43:08Z</dcterms:created>
  <dcterms:modified xsi:type="dcterms:W3CDTF">2025-12-28T13:23:35Z</dcterms:modified>
</cp:coreProperties>
</file>