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300" windowWidth="20730" windowHeight="11160" firstSheet="10" activeTab="14"/>
  </bookViews>
  <sheets>
    <sheet name="Assumptions " sheetId="1" r:id="rId1"/>
    <sheet name="Revenue-Built-up" sheetId="2" r:id="rId2"/>
    <sheet name="Cost-Built up" sheetId="4" r:id="rId3"/>
    <sheet name="Income Statement " sheetId="3" r:id="rId4"/>
    <sheet name="Balance Sheet " sheetId="5" r:id="rId5"/>
    <sheet name="Asset Schedule (brief)" sheetId="19" r:id="rId6"/>
    <sheet name="Asset Schedule (Working)" sheetId="6" r:id="rId7"/>
    <sheet name="Loans and Advances " sheetId="7" r:id="rId8"/>
    <sheet name="Tax Schedule" sheetId="8" r:id="rId9"/>
    <sheet name="Equity Schedule" sheetId="9" r:id="rId10"/>
    <sheet name="Cash Flow Statement" sheetId="10" r:id="rId11"/>
    <sheet name="Ratio Anaysis" sheetId="11" r:id="rId12"/>
    <sheet name="Valuations" sheetId="12" r:id="rId13"/>
    <sheet name="Comparative Analysis" sheetId="13" r:id="rId14"/>
    <sheet name="Precedent Transaction Analysis " sheetId="17" r:id="rId15"/>
    <sheet name="Scenario AnalysisBear,Base,Bull" sheetId="18" r:id="rId16"/>
  </sheets>
  <definedNames>
    <definedName name="_xlnm._FilterDatabase" localSheetId="12" hidden="1">Valuations!$K$53:$P$58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2"/>
  <c r="D10"/>
  <c r="K14" i="18" l="1"/>
  <c r="K13"/>
  <c r="K12"/>
  <c r="K11"/>
  <c r="K10"/>
  <c r="K9"/>
  <c r="H11"/>
  <c r="H10"/>
  <c r="H9"/>
  <c r="J7"/>
  <c r="I7"/>
  <c r="H7"/>
  <c r="G7"/>
  <c r="F7"/>
  <c r="J6"/>
  <c r="I6"/>
  <c r="H6"/>
  <c r="G6"/>
  <c r="F6"/>
  <c r="J5"/>
  <c r="I5"/>
  <c r="H5"/>
  <c r="G5"/>
  <c r="F5"/>
  <c r="J4"/>
  <c r="I4"/>
  <c r="H4"/>
  <c r="G4"/>
  <c r="K2"/>
  <c r="J2"/>
  <c r="I2"/>
  <c r="H2"/>
  <c r="G2"/>
  <c r="F2"/>
  <c r="E2"/>
  <c r="D2"/>
  <c r="D3"/>
  <c r="D12"/>
  <c r="D11"/>
  <c r="D10"/>
  <c r="D9"/>
  <c r="D8"/>
  <c r="D4"/>
  <c r="D7"/>
  <c r="D6"/>
  <c r="D5"/>
  <c r="K46" i="12" l="1"/>
  <c r="K45" s="1"/>
  <c r="L17"/>
  <c r="G36" i="10"/>
  <c r="K31" i="12"/>
  <c r="M18"/>
  <c r="N18"/>
  <c r="O18"/>
  <c r="P18"/>
  <c r="L18"/>
  <c r="M17"/>
  <c r="N17"/>
  <c r="O17"/>
  <c r="M16"/>
  <c r="N16"/>
  <c r="O16"/>
  <c r="P16"/>
  <c r="L16"/>
  <c r="H25" i="11" l="1"/>
  <c r="I25"/>
  <c r="J25"/>
  <c r="K25"/>
  <c r="G25"/>
  <c r="H24"/>
  <c r="I24"/>
  <c r="J24"/>
  <c r="K24"/>
  <c r="G24"/>
  <c r="P42" i="10" l="1"/>
  <c r="P40"/>
  <c r="P45" s="1"/>
  <c r="M12"/>
  <c r="H14"/>
  <c r="H17"/>
  <c r="I17"/>
  <c r="J17"/>
  <c r="K17"/>
  <c r="L17"/>
  <c r="M17"/>
  <c r="N17"/>
  <c r="O17"/>
  <c r="H16"/>
  <c r="G16"/>
  <c r="G12"/>
  <c r="G17"/>
  <c r="J16"/>
  <c r="K16"/>
  <c r="L16"/>
  <c r="M16"/>
  <c r="N16"/>
  <c r="O16"/>
  <c r="P16"/>
  <c r="I16"/>
  <c r="I15"/>
  <c r="J15"/>
  <c r="K15"/>
  <c r="L15"/>
  <c r="M15"/>
  <c r="N15"/>
  <c r="O15"/>
  <c r="P15"/>
  <c r="H15"/>
  <c r="G15"/>
  <c r="I14"/>
  <c r="J14"/>
  <c r="K14"/>
  <c r="L14"/>
  <c r="M14"/>
  <c r="N14"/>
  <c r="O14"/>
  <c r="P14"/>
  <c r="G14"/>
  <c r="I13"/>
  <c r="J13"/>
  <c r="K13"/>
  <c r="H13"/>
  <c r="G13"/>
  <c r="P12"/>
  <c r="O12"/>
  <c r="N12"/>
  <c r="I12"/>
  <c r="J12"/>
  <c r="K12"/>
  <c r="L12"/>
  <c r="H12"/>
  <c r="L7"/>
  <c r="M7"/>
  <c r="N7"/>
  <c r="O7"/>
  <c r="P7"/>
  <c r="G7" i="9"/>
  <c r="G9" s="1"/>
  <c r="G10" s="1"/>
  <c r="H7"/>
  <c r="H9" s="1"/>
  <c r="H10" s="1"/>
  <c r="I7"/>
  <c r="I9" s="1"/>
  <c r="I10" s="1"/>
  <c r="J7"/>
  <c r="J9" s="1"/>
  <c r="J10" s="1"/>
  <c r="K7"/>
  <c r="K9" s="1"/>
  <c r="K10" s="1"/>
  <c r="L7"/>
  <c r="L9" s="1"/>
  <c r="L10" s="1"/>
  <c r="M7"/>
  <c r="M9" s="1"/>
  <c r="M10" s="1"/>
  <c r="N7"/>
  <c r="N9" s="1"/>
  <c r="N10" s="1"/>
  <c r="O7"/>
  <c r="O9" s="1"/>
  <c r="O10" s="1"/>
  <c r="P7"/>
  <c r="P9" s="1"/>
  <c r="P10" s="1"/>
  <c r="F7"/>
  <c r="F9" s="1"/>
  <c r="F10" s="1"/>
  <c r="I25" i="7"/>
  <c r="J25"/>
  <c r="K25"/>
  <c r="L25"/>
  <c r="M25"/>
  <c r="N25"/>
  <c r="O25"/>
  <c r="P25"/>
  <c r="H25"/>
  <c r="I24"/>
  <c r="J24"/>
  <c r="K24"/>
  <c r="L24"/>
  <c r="M24"/>
  <c r="N24"/>
  <c r="O24"/>
  <c r="P24"/>
  <c r="H24"/>
  <c r="H22"/>
  <c r="I22"/>
  <c r="J22"/>
  <c r="K22"/>
  <c r="L22"/>
  <c r="M22"/>
  <c r="N22"/>
  <c r="O22"/>
  <c r="P22"/>
  <c r="G22"/>
  <c r="H20"/>
  <c r="I20"/>
  <c r="J20"/>
  <c r="K20"/>
  <c r="L20"/>
  <c r="M20"/>
  <c r="N20"/>
  <c r="O20"/>
  <c r="P20"/>
  <c r="G20"/>
  <c r="C18"/>
  <c r="H14"/>
  <c r="I14"/>
  <c r="J14"/>
  <c r="K14"/>
  <c r="L14"/>
  <c r="M14"/>
  <c r="N14"/>
  <c r="O14"/>
  <c r="P14"/>
  <c r="G14"/>
  <c r="L9"/>
  <c r="M9"/>
  <c r="N9"/>
  <c r="O9"/>
  <c r="P9"/>
  <c r="H8"/>
  <c r="I8"/>
  <c r="J8"/>
  <c r="K8"/>
  <c r="G8"/>
  <c r="H7"/>
  <c r="H18" s="1"/>
  <c r="I7"/>
  <c r="I18" s="1"/>
  <c r="J7"/>
  <c r="J18" s="1"/>
  <c r="K7"/>
  <c r="K18" s="1"/>
  <c r="L7"/>
  <c r="L18" s="1"/>
  <c r="M7"/>
  <c r="M18" s="1"/>
  <c r="N7"/>
  <c r="N18" s="1"/>
  <c r="O7"/>
  <c r="O18" s="1"/>
  <c r="P7"/>
  <c r="P18" s="1"/>
  <c r="G7"/>
  <c r="G18" s="1"/>
  <c r="H31" i="19"/>
  <c r="L31"/>
  <c r="D25"/>
  <c r="D28"/>
  <c r="E27"/>
  <c r="I27"/>
  <c r="M27"/>
  <c r="E25"/>
  <c r="H20"/>
  <c r="I20" s="1"/>
  <c r="J20" s="1"/>
  <c r="K20" s="1"/>
  <c r="L20" s="1"/>
  <c r="M20" s="1"/>
  <c r="E19"/>
  <c r="F19" s="1"/>
  <c r="G19" s="1"/>
  <c r="H19" s="1"/>
  <c r="I19" s="1"/>
  <c r="J19" s="1"/>
  <c r="K19" s="1"/>
  <c r="L19" s="1"/>
  <c r="M19" s="1"/>
  <c r="D22"/>
  <c r="E22" s="1"/>
  <c r="F22" s="1"/>
  <c r="G22" s="1"/>
  <c r="H22" s="1"/>
  <c r="I22" s="1"/>
  <c r="J22" s="1"/>
  <c r="K22" s="1"/>
  <c r="L22" s="1"/>
  <c r="M22" s="1"/>
  <c r="M31" s="1"/>
  <c r="D21"/>
  <c r="E21" s="1"/>
  <c r="F21" s="1"/>
  <c r="G21" s="1"/>
  <c r="H21" s="1"/>
  <c r="I21" s="1"/>
  <c r="J21" s="1"/>
  <c r="K21" s="1"/>
  <c r="L21" s="1"/>
  <c r="M21" s="1"/>
  <c r="D20"/>
  <c r="E20" s="1"/>
  <c r="F20" s="1"/>
  <c r="D18"/>
  <c r="E18" s="1"/>
  <c r="F18" s="1"/>
  <c r="G18" s="1"/>
  <c r="H18" s="1"/>
  <c r="I18" s="1"/>
  <c r="J18" s="1"/>
  <c r="K18" s="1"/>
  <c r="L18" s="1"/>
  <c r="L27" s="1"/>
  <c r="D17"/>
  <c r="D26" s="1"/>
  <c r="D16"/>
  <c r="E16" s="1"/>
  <c r="D15"/>
  <c r="G166" i="6"/>
  <c r="H12"/>
  <c r="I12"/>
  <c r="J12"/>
  <c r="K12"/>
  <c r="L12"/>
  <c r="M12"/>
  <c r="N12"/>
  <c r="O12"/>
  <c r="P12"/>
  <c r="G12"/>
  <c r="G26" i="5"/>
  <c r="J26"/>
  <c r="F26"/>
  <c r="O15"/>
  <c r="K15"/>
  <c r="L15"/>
  <c r="G15"/>
  <c r="H15"/>
  <c r="I15"/>
  <c r="J15"/>
  <c r="F15"/>
  <c r="G8"/>
  <c r="I30" i="11" s="1"/>
  <c r="H8" i="5"/>
  <c r="J30" i="11" s="1"/>
  <c r="I8" i="5"/>
  <c r="K30" i="11" s="1"/>
  <c r="J8" i="5"/>
  <c r="L30" i="11" s="1"/>
  <c r="F8" i="5"/>
  <c r="H30" i="11" s="1"/>
  <c r="H14" i="3"/>
  <c r="I14"/>
  <c r="J14"/>
  <c r="K14"/>
  <c r="H13"/>
  <c r="I13"/>
  <c r="J13"/>
  <c r="K13"/>
  <c r="H12"/>
  <c r="I12"/>
  <c r="I22" i="11" s="1"/>
  <c r="J12" i="3"/>
  <c r="K12"/>
  <c r="L12"/>
  <c r="M12"/>
  <c r="N12"/>
  <c r="O12"/>
  <c r="P12"/>
  <c r="H11"/>
  <c r="H22" i="11" s="1"/>
  <c r="I11" i="3"/>
  <c r="J11"/>
  <c r="J22" i="11" s="1"/>
  <c r="K11" i="3"/>
  <c r="G14"/>
  <c r="G13"/>
  <c r="G12"/>
  <c r="G11"/>
  <c r="H10"/>
  <c r="H21" i="11" s="1"/>
  <c r="I10" i="3"/>
  <c r="I21" i="11" s="1"/>
  <c r="J10" i="3"/>
  <c r="J21" i="11" s="1"/>
  <c r="K10" i="3"/>
  <c r="K21" i="11" s="1"/>
  <c r="G10" i="3"/>
  <c r="G21" i="11" s="1"/>
  <c r="H9" i="3"/>
  <c r="H20" i="11" s="1"/>
  <c r="I9" i="3"/>
  <c r="I20" i="11" s="1"/>
  <c r="J9" i="3"/>
  <c r="J20" i="11" s="1"/>
  <c r="K9" i="3"/>
  <c r="K20" i="11" s="1"/>
  <c r="G9" i="3"/>
  <c r="G20" i="11" s="1"/>
  <c r="H8" i="3"/>
  <c r="H19" i="11" s="1"/>
  <c r="I8" i="3"/>
  <c r="I19" i="11" s="1"/>
  <c r="J8" i="3"/>
  <c r="J19" i="11" s="1"/>
  <c r="K8" i="3"/>
  <c r="K19" i="11" s="1"/>
  <c r="G8" i="3"/>
  <c r="G19" i="11" s="1"/>
  <c r="H27" i="1"/>
  <c r="I27"/>
  <c r="J27"/>
  <c r="K27"/>
  <c r="L27"/>
  <c r="M27"/>
  <c r="N27"/>
  <c r="O27"/>
  <c r="P27"/>
  <c r="G27"/>
  <c r="L25" i="4"/>
  <c r="K25"/>
  <c r="G25"/>
  <c r="M16" i="1"/>
  <c r="L16"/>
  <c r="N16"/>
  <c r="O16"/>
  <c r="M9"/>
  <c r="N9"/>
  <c r="O9"/>
  <c r="P9"/>
  <c r="H11"/>
  <c r="L10" i="2"/>
  <c r="M10"/>
  <c r="N10"/>
  <c r="O8" i="1" s="1"/>
  <c r="O10" i="2"/>
  <c r="P10"/>
  <c r="P8" i="1" s="1"/>
  <c r="I6"/>
  <c r="J6"/>
  <c r="K6"/>
  <c r="L6"/>
  <c r="M6"/>
  <c r="N6"/>
  <c r="O6"/>
  <c r="P6"/>
  <c r="H17" i="9"/>
  <c r="I17"/>
  <c r="J17"/>
  <c r="K17"/>
  <c r="L17"/>
  <c r="M17"/>
  <c r="G17"/>
  <c r="J16" i="5" l="1"/>
  <c r="H16"/>
  <c r="M8" i="1"/>
  <c r="G22" i="11"/>
  <c r="K22"/>
  <c r="I16" i="5"/>
  <c r="E17" i="19"/>
  <c r="H27"/>
  <c r="E31"/>
  <c r="K31"/>
  <c r="G31"/>
  <c r="P43" i="10"/>
  <c r="D23" i="19"/>
  <c r="K27"/>
  <c r="G27"/>
  <c r="E28"/>
  <c r="F31"/>
  <c r="J31"/>
  <c r="D31"/>
  <c r="P44" i="10"/>
  <c r="F16" i="5"/>
  <c r="G16"/>
  <c r="D27" i="19"/>
  <c r="J27"/>
  <c r="F27"/>
  <c r="D29"/>
  <c r="I31"/>
  <c r="D30"/>
  <c r="G18" i="10"/>
  <c r="K18"/>
  <c r="I18"/>
  <c r="H18"/>
  <c r="G10" i="7"/>
  <c r="D32" i="19"/>
  <c r="E23"/>
  <c r="F16"/>
  <c r="F25" s="1"/>
  <c r="J15" i="3"/>
  <c r="J16" s="1"/>
  <c r="K15"/>
  <c r="K16" s="1"/>
  <c r="G15"/>
  <c r="G16" s="1"/>
  <c r="G6" i="11" s="1"/>
  <c r="H15" i="3"/>
  <c r="H16" s="1"/>
  <c r="I15"/>
  <c r="I16" s="1"/>
  <c r="P16" i="1"/>
  <c r="N8"/>
  <c r="I34" i="10"/>
  <c r="H35" s="1"/>
  <c r="J34"/>
  <c r="I35" s="1"/>
  <c r="K34"/>
  <c r="J35" s="1"/>
  <c r="L34"/>
  <c r="K35" s="1"/>
  <c r="L39" s="1"/>
  <c r="H34"/>
  <c r="F17" i="19" l="1"/>
  <c r="E26"/>
  <c r="E32" s="1"/>
  <c r="H17" i="3"/>
  <c r="H6" i="11"/>
  <c r="H14"/>
  <c r="K14"/>
  <c r="K6"/>
  <c r="I6"/>
  <c r="I14"/>
  <c r="J17" i="3"/>
  <c r="J14" i="11"/>
  <c r="J6"/>
  <c r="G16" i="19"/>
  <c r="G25" s="1"/>
  <c r="F23"/>
  <c r="J19" i="3"/>
  <c r="K17"/>
  <c r="K19"/>
  <c r="G19"/>
  <c r="G17"/>
  <c r="I17"/>
  <c r="I19"/>
  <c r="H19"/>
  <c r="H28" i="10"/>
  <c r="H31" s="1"/>
  <c r="I28"/>
  <c r="I31" s="1"/>
  <c r="J28"/>
  <c r="J31" s="1"/>
  <c r="K28"/>
  <c r="K31" s="1"/>
  <c r="L28"/>
  <c r="L31" s="1"/>
  <c r="M28"/>
  <c r="M31" s="1"/>
  <c r="N28"/>
  <c r="N31" s="1"/>
  <c r="O28"/>
  <c r="O31" s="1"/>
  <c r="P28"/>
  <c r="P31" s="1"/>
  <c r="G28"/>
  <c r="G31" s="1"/>
  <c r="J26"/>
  <c r="M26"/>
  <c r="N26"/>
  <c r="O26"/>
  <c r="P26"/>
  <c r="H26"/>
  <c r="G26"/>
  <c r="G17" i="19" l="1"/>
  <c r="F26"/>
  <c r="F32" s="1"/>
  <c r="G22" i="3"/>
  <c r="G6" i="10" s="1"/>
  <c r="H31" i="11"/>
  <c r="G7"/>
  <c r="J22" i="3"/>
  <c r="J6" i="10" s="1"/>
  <c r="K31" i="11"/>
  <c r="J15"/>
  <c r="J7"/>
  <c r="H22" i="3"/>
  <c r="H23" s="1"/>
  <c r="H25" s="1"/>
  <c r="I31" i="11"/>
  <c r="H7"/>
  <c r="H15"/>
  <c r="I22" i="3"/>
  <c r="I6" i="10" s="1"/>
  <c r="J31" i="11"/>
  <c r="I15"/>
  <c r="I7"/>
  <c r="K22" i="3"/>
  <c r="K6" i="10" s="1"/>
  <c r="L31" i="11"/>
  <c r="K15"/>
  <c r="K7"/>
  <c r="H16" i="19"/>
  <c r="H25" s="1"/>
  <c r="G23"/>
  <c r="J23" i="3"/>
  <c r="J25" s="1"/>
  <c r="I23"/>
  <c r="I25" s="1"/>
  <c r="G23"/>
  <c r="G25" s="1"/>
  <c r="H6" i="10"/>
  <c r="K55" i="12"/>
  <c r="K56" s="1"/>
  <c r="K57" s="1"/>
  <c r="K58" s="1"/>
  <c r="M53"/>
  <c r="N53" s="1"/>
  <c r="O53" s="1"/>
  <c r="P53" s="1"/>
  <c r="K47"/>
  <c r="K48" s="1"/>
  <c r="K49" s="1"/>
  <c r="N44"/>
  <c r="O44" s="1"/>
  <c r="P44" s="1"/>
  <c r="M44"/>
  <c r="L44"/>
  <c r="H17" i="19" l="1"/>
  <c r="G26"/>
  <c r="G32" s="1"/>
  <c r="K23" i="3"/>
  <c r="K25" s="1"/>
  <c r="I27" i="11"/>
  <c r="H9"/>
  <c r="J27"/>
  <c r="I9"/>
  <c r="K9"/>
  <c r="H27"/>
  <c r="G9"/>
  <c r="K27"/>
  <c r="J9"/>
  <c r="I16" i="19"/>
  <c r="I25" s="1"/>
  <c r="H23"/>
  <c r="J26" i="3"/>
  <c r="J28"/>
  <c r="I26"/>
  <c r="I28"/>
  <c r="H26"/>
  <c r="H28"/>
  <c r="G26"/>
  <c r="G28"/>
  <c r="K26"/>
  <c r="K28"/>
  <c r="M26" i="12"/>
  <c r="N26"/>
  <c r="O26"/>
  <c r="P26"/>
  <c r="L26"/>
  <c r="G12"/>
  <c r="H12" s="1"/>
  <c r="I12" s="1"/>
  <c r="J12" s="1"/>
  <c r="K12" s="1"/>
  <c r="L12" s="1"/>
  <c r="M12" s="1"/>
  <c r="N12" s="1"/>
  <c r="O12" s="1"/>
  <c r="P12" s="1"/>
  <c r="D8"/>
  <c r="D5"/>
  <c r="D4"/>
  <c r="D3"/>
  <c r="H17" i="11"/>
  <c r="I17"/>
  <c r="J17"/>
  <c r="K17"/>
  <c r="I16"/>
  <c r="J16"/>
  <c r="K16"/>
  <c r="H16"/>
  <c r="I13"/>
  <c r="J13"/>
  <c r="K13"/>
  <c r="H13"/>
  <c r="H8"/>
  <c r="I8"/>
  <c r="J8"/>
  <c r="K8"/>
  <c r="G8"/>
  <c r="M11" i="5"/>
  <c r="M13" i="7"/>
  <c r="N13"/>
  <c r="O13"/>
  <c r="P13"/>
  <c r="L13"/>
  <c r="H16" i="9"/>
  <c r="I16"/>
  <c r="J16"/>
  <c r="K16"/>
  <c r="G16"/>
  <c r="I17" i="19" l="1"/>
  <c r="H26"/>
  <c r="H32" s="1"/>
  <c r="J16"/>
  <c r="J25" s="1"/>
  <c r="N11" i="5"/>
  <c r="N15" s="1"/>
  <c r="M15"/>
  <c r="L8"/>
  <c r="K8"/>
  <c r="D6" i="12"/>
  <c r="I19" i="9"/>
  <c r="I20" s="1"/>
  <c r="G19"/>
  <c r="G20" s="1"/>
  <c r="H19"/>
  <c r="H20" s="1"/>
  <c r="K19"/>
  <c r="K20" s="1"/>
  <c r="J19"/>
  <c r="J20" s="1"/>
  <c r="N30" i="11" l="1"/>
  <c r="L16" i="5"/>
  <c r="J17" i="19"/>
  <c r="I26"/>
  <c r="I32" s="1"/>
  <c r="M30" i="11"/>
  <c r="K16" i="5"/>
  <c r="L27" i="11"/>
  <c r="I23" i="19"/>
  <c r="K16"/>
  <c r="K25" s="1"/>
  <c r="J23"/>
  <c r="M8" i="5"/>
  <c r="G2" i="11"/>
  <c r="H2" s="1"/>
  <c r="I2" s="1"/>
  <c r="J2" s="1"/>
  <c r="K2" s="1"/>
  <c r="L2" s="1"/>
  <c r="M2" s="1"/>
  <c r="N2" s="1"/>
  <c r="O2" s="1"/>
  <c r="P2" s="1"/>
  <c r="O30" l="1"/>
  <c r="M16" i="5"/>
  <c r="K17" i="19"/>
  <c r="J26"/>
  <c r="J32" s="1"/>
  <c r="L16"/>
  <c r="L25" s="1"/>
  <c r="K23"/>
  <c r="N8" i="5"/>
  <c r="I26" i="10"/>
  <c r="K26"/>
  <c r="L26"/>
  <c r="P30" i="11" l="1"/>
  <c r="N16" i="5"/>
  <c r="L17" i="19"/>
  <c r="K26"/>
  <c r="K32" s="1"/>
  <c r="M16"/>
  <c r="L23"/>
  <c r="O8" i="5"/>
  <c r="O16" s="1"/>
  <c r="I30" i="1"/>
  <c r="J30"/>
  <c r="K30"/>
  <c r="H30"/>
  <c r="H9" i="10"/>
  <c r="I9"/>
  <c r="J9"/>
  <c r="K9"/>
  <c r="L9"/>
  <c r="M9"/>
  <c r="N9"/>
  <c r="O9"/>
  <c r="P9"/>
  <c r="G9"/>
  <c r="H8"/>
  <c r="I8"/>
  <c r="J8"/>
  <c r="K8"/>
  <c r="G8"/>
  <c r="M17" i="19" l="1"/>
  <c r="M26" s="1"/>
  <c r="L26"/>
  <c r="L32" s="1"/>
  <c r="M23"/>
  <c r="M25"/>
  <c r="M32" s="1"/>
  <c r="E20" i="7"/>
  <c r="G13"/>
  <c r="H13"/>
  <c r="I13"/>
  <c r="J13"/>
  <c r="K13"/>
  <c r="H12"/>
  <c r="I12"/>
  <c r="J12"/>
  <c r="J15" s="1"/>
  <c r="K12"/>
  <c r="K15" s="1"/>
  <c r="G12"/>
  <c r="H15" l="1"/>
  <c r="I15"/>
  <c r="G15"/>
  <c r="H6" i="8" l="1"/>
  <c r="I6"/>
  <c r="J6"/>
  <c r="K6"/>
  <c r="G6"/>
  <c r="H5"/>
  <c r="H11" s="1"/>
  <c r="I5"/>
  <c r="I11" s="1"/>
  <c r="J5"/>
  <c r="K5"/>
  <c r="G5"/>
  <c r="G11" s="1"/>
  <c r="O174" i="6"/>
  <c r="P174" s="1"/>
  <c r="N173"/>
  <c r="M172"/>
  <c r="L171"/>
  <c r="M171" s="1"/>
  <c r="N171" s="1"/>
  <c r="K170"/>
  <c r="J169"/>
  <c r="I168"/>
  <c r="J168" s="1"/>
  <c r="H167"/>
  <c r="G176"/>
  <c r="N160"/>
  <c r="O160" s="1"/>
  <c r="P160" s="1"/>
  <c r="O161"/>
  <c r="P161" s="1"/>
  <c r="P162"/>
  <c r="M159"/>
  <c r="N159" s="1"/>
  <c r="O159" s="1"/>
  <c r="P159" s="1"/>
  <c r="L158"/>
  <c r="M158" s="1"/>
  <c r="K157"/>
  <c r="L157" s="1"/>
  <c r="J156"/>
  <c r="I155"/>
  <c r="J155" s="1"/>
  <c r="H154"/>
  <c r="I154" s="1"/>
  <c r="G153"/>
  <c r="G163" s="1"/>
  <c r="G148"/>
  <c r="G150" s="1"/>
  <c r="H147" s="1"/>
  <c r="I148"/>
  <c r="H148"/>
  <c r="P144"/>
  <c r="O143"/>
  <c r="P143" s="1"/>
  <c r="N142"/>
  <c r="M141"/>
  <c r="L140"/>
  <c r="M140" s="1"/>
  <c r="K139"/>
  <c r="L139" s="1"/>
  <c r="M139" s="1"/>
  <c r="J138"/>
  <c r="I137"/>
  <c r="H136"/>
  <c r="G135"/>
  <c r="P131"/>
  <c r="O130"/>
  <c r="P130" s="1"/>
  <c r="J125"/>
  <c r="I124"/>
  <c r="J124" s="1"/>
  <c r="H123"/>
  <c r="G122"/>
  <c r="H122" s="1"/>
  <c r="G117"/>
  <c r="P117"/>
  <c r="O117"/>
  <c r="N117"/>
  <c r="M117"/>
  <c r="L117"/>
  <c r="K117"/>
  <c r="J117"/>
  <c r="I117"/>
  <c r="H117"/>
  <c r="P86"/>
  <c r="O86"/>
  <c r="N86"/>
  <c r="M86"/>
  <c r="L86"/>
  <c r="K86"/>
  <c r="J86"/>
  <c r="I86"/>
  <c r="H86"/>
  <c r="G86"/>
  <c r="P54"/>
  <c r="O54"/>
  <c r="N54"/>
  <c r="M54"/>
  <c r="L54"/>
  <c r="K54"/>
  <c r="J54"/>
  <c r="H54"/>
  <c r="G54"/>
  <c r="P22"/>
  <c r="O22"/>
  <c r="N22"/>
  <c r="M22"/>
  <c r="L22"/>
  <c r="K22"/>
  <c r="J22"/>
  <c r="I22"/>
  <c r="H22"/>
  <c r="G22"/>
  <c r="G16"/>
  <c r="L46" i="1"/>
  <c r="M46"/>
  <c r="N46"/>
  <c r="O46"/>
  <c r="P46"/>
  <c r="M6" i="3"/>
  <c r="N6"/>
  <c r="O6"/>
  <c r="P6"/>
  <c r="L6"/>
  <c r="L170" i="6" l="1"/>
  <c r="M170" s="1"/>
  <c r="H166"/>
  <c r="H176" s="1"/>
  <c r="M169"/>
  <c r="K169"/>
  <c r="O171"/>
  <c r="P171" s="1"/>
  <c r="K11" i="8"/>
  <c r="K168" i="6"/>
  <c r="L169"/>
  <c r="J11" i="8"/>
  <c r="K155" i="6"/>
  <c r="L155" s="1"/>
  <c r="O173"/>
  <c r="P173" s="1"/>
  <c r="I167"/>
  <c r="N172"/>
  <c r="O172" s="1"/>
  <c r="P172" s="1"/>
  <c r="I166"/>
  <c r="H153"/>
  <c r="I153" s="1"/>
  <c r="I163" s="1"/>
  <c r="N158"/>
  <c r="O158" s="1"/>
  <c r="P158" s="1"/>
  <c r="K156"/>
  <c r="L156" s="1"/>
  <c r="M156" s="1"/>
  <c r="M157"/>
  <c r="N157" s="1"/>
  <c r="O157" s="1"/>
  <c r="P157" s="1"/>
  <c r="J154"/>
  <c r="N140"/>
  <c r="H135"/>
  <c r="I135" s="1"/>
  <c r="K138"/>
  <c r="L138" s="1"/>
  <c r="I136"/>
  <c r="N141"/>
  <c r="O141" s="1"/>
  <c r="G145"/>
  <c r="O142"/>
  <c r="P142" s="1"/>
  <c r="J137"/>
  <c r="N139"/>
  <c r="O139" s="1"/>
  <c r="H150"/>
  <c r="I147" s="1"/>
  <c r="I150" s="1"/>
  <c r="J147" s="1"/>
  <c r="J150" s="1"/>
  <c r="K147" s="1"/>
  <c r="K150" s="1"/>
  <c r="L147" s="1"/>
  <c r="L150" s="1"/>
  <c r="M147" s="1"/>
  <c r="M150" s="1"/>
  <c r="N147" s="1"/>
  <c r="N150" s="1"/>
  <c r="O147" s="1"/>
  <c r="O150" s="1"/>
  <c r="P147" s="1"/>
  <c r="P150" s="1"/>
  <c r="H132"/>
  <c r="I122"/>
  <c r="I123"/>
  <c r="G132"/>
  <c r="N129"/>
  <c r="O129" s="1"/>
  <c r="P129" s="1"/>
  <c r="K126"/>
  <c r="L126" s="1"/>
  <c r="M126" s="1"/>
  <c r="L127"/>
  <c r="M127" s="1"/>
  <c r="M128"/>
  <c r="K125"/>
  <c r="L125" s="1"/>
  <c r="G119"/>
  <c r="H116" s="1"/>
  <c r="H119" s="1"/>
  <c r="I116" s="1"/>
  <c r="I119" s="1"/>
  <c r="J116" s="1"/>
  <c r="J119" s="1"/>
  <c r="K116" s="1"/>
  <c r="K119" s="1"/>
  <c r="L116" s="1"/>
  <c r="L119" s="1"/>
  <c r="M116" s="1"/>
  <c r="M119" s="1"/>
  <c r="N116" s="1"/>
  <c r="N119" s="1"/>
  <c r="O116" s="1"/>
  <c r="O119" s="1"/>
  <c r="P116" s="1"/>
  <c r="P119" s="1"/>
  <c r="E104" a="1"/>
  <c r="E112" s="1"/>
  <c r="O112" s="1"/>
  <c r="E91" a="1"/>
  <c r="G88"/>
  <c r="H85" s="1"/>
  <c r="H88" s="1"/>
  <c r="I85" s="1"/>
  <c r="I88" s="1"/>
  <c r="J85" s="1"/>
  <c r="J88" s="1"/>
  <c r="K85" s="1"/>
  <c r="K88" s="1"/>
  <c r="L85" s="1"/>
  <c r="L88" s="1"/>
  <c r="M85" s="1"/>
  <c r="M88" s="1"/>
  <c r="N85" s="1"/>
  <c r="N88" s="1"/>
  <c r="O85" s="1"/>
  <c r="O88" s="1"/>
  <c r="P85" s="1"/>
  <c r="P88" s="1"/>
  <c r="I19" i="1"/>
  <c r="J19"/>
  <c r="K19"/>
  <c r="H19"/>
  <c r="I18"/>
  <c r="J18"/>
  <c r="K18"/>
  <c r="H18"/>
  <c r="I17"/>
  <c r="J17"/>
  <c r="K17"/>
  <c r="H17"/>
  <c r="I14"/>
  <c r="J14"/>
  <c r="K14"/>
  <c r="H14"/>
  <c r="I13"/>
  <c r="J13"/>
  <c r="K13"/>
  <c r="H13"/>
  <c r="I12"/>
  <c r="J12"/>
  <c r="K12"/>
  <c r="H12"/>
  <c r="I11"/>
  <c r="J11"/>
  <c r="K11"/>
  <c r="M5" i="3"/>
  <c r="M10" i="11" s="1"/>
  <c r="N5" i="3"/>
  <c r="N10" i="11" s="1"/>
  <c r="O5" i="3"/>
  <c r="O10" i="11" s="1"/>
  <c r="P5" i="3"/>
  <c r="P10" i="11" s="1"/>
  <c r="L5" i="3"/>
  <c r="L10" i="11" s="1"/>
  <c r="L14" i="4"/>
  <c r="M14" s="1"/>
  <c r="N14" s="1"/>
  <c r="O14" s="1"/>
  <c r="P14" s="1"/>
  <c r="L16"/>
  <c r="M16" s="1"/>
  <c r="N16" s="1"/>
  <c r="O16" s="1"/>
  <c r="P16" s="1"/>
  <c r="L15"/>
  <c r="P9" i="3"/>
  <c r="M18" i="4"/>
  <c r="N18"/>
  <c r="O18"/>
  <c r="P18"/>
  <c r="L10" i="3"/>
  <c r="L21" i="11" s="1"/>
  <c r="K26" i="1"/>
  <c r="K25"/>
  <c r="K24"/>
  <c r="K23"/>
  <c r="K22"/>
  <c r="J26"/>
  <c r="J25"/>
  <c r="J24"/>
  <c r="J23"/>
  <c r="J22"/>
  <c r="I26"/>
  <c r="I25"/>
  <c r="I24"/>
  <c r="I23"/>
  <c r="I22"/>
  <c r="H26"/>
  <c r="H25"/>
  <c r="H24"/>
  <c r="H23"/>
  <c r="H22"/>
  <c r="G26"/>
  <c r="G25"/>
  <c r="G24"/>
  <c r="G23"/>
  <c r="G22"/>
  <c r="M24" i="4"/>
  <c r="M14" i="3" s="1"/>
  <c r="N24" i="4"/>
  <c r="N14" i="3" s="1"/>
  <c r="O24" i="4"/>
  <c r="O14" i="3" s="1"/>
  <c r="P24" i="4"/>
  <c r="P14" i="3" s="1"/>
  <c r="L24" i="4"/>
  <c r="L14" i="3" s="1"/>
  <c r="M23" i="4"/>
  <c r="M13" i="3" s="1"/>
  <c r="N23" i="4"/>
  <c r="N13" i="3" s="1"/>
  <c r="O23" i="4"/>
  <c r="O13" i="3" s="1"/>
  <c r="P23" i="4"/>
  <c r="P13" i="3" s="1"/>
  <c r="L23" i="4"/>
  <c r="L13" i="3" s="1"/>
  <c r="M21" i="4"/>
  <c r="M11" i="3" s="1"/>
  <c r="N21" i="4"/>
  <c r="N11" i="3" s="1"/>
  <c r="N22" i="11" s="1"/>
  <c r="O21" i="4"/>
  <c r="O11" i="3" s="1"/>
  <c r="P21" i="4"/>
  <c r="P11" i="3" s="1"/>
  <c r="L21" i="4"/>
  <c r="L11" i="3" s="1"/>
  <c r="H16" i="1"/>
  <c r="M155" i="6" l="1"/>
  <c r="N10" i="3"/>
  <c r="N21" i="11" s="1"/>
  <c r="N25" i="4"/>
  <c r="O10" i="3"/>
  <c r="O21" i="11" s="1"/>
  <c r="O25" i="4"/>
  <c r="P10" i="3"/>
  <c r="P21" i="11" s="1"/>
  <c r="P25" i="4"/>
  <c r="P22" i="11"/>
  <c r="P20"/>
  <c r="M10" i="3"/>
  <c r="M21" i="11" s="1"/>
  <c r="M25" i="4"/>
  <c r="O22" i="11"/>
  <c r="L22"/>
  <c r="M22"/>
  <c r="M15" i="4"/>
  <c r="P13" i="11"/>
  <c r="L13"/>
  <c r="N13"/>
  <c r="O13"/>
  <c r="M13"/>
  <c r="N170" i="6"/>
  <c r="O170" s="1"/>
  <c r="H29" i="1"/>
  <c r="H31"/>
  <c r="I31"/>
  <c r="I29"/>
  <c r="I176" i="6"/>
  <c r="N169"/>
  <c r="O169" s="1"/>
  <c r="P169" s="1"/>
  <c r="J31" i="1"/>
  <c r="J29"/>
  <c r="K31"/>
  <c r="K29"/>
  <c r="K23" i="5"/>
  <c r="N155" i="6"/>
  <c r="O155" s="1"/>
  <c r="P155" s="1"/>
  <c r="L168"/>
  <c r="M168" s="1"/>
  <c r="J167"/>
  <c r="K167" s="1"/>
  <c r="J166"/>
  <c r="N156"/>
  <c r="O156" s="1"/>
  <c r="P156" s="1"/>
  <c r="J153"/>
  <c r="J163" s="1"/>
  <c r="H163"/>
  <c r="K154"/>
  <c r="L154" s="1"/>
  <c r="I145"/>
  <c r="K137"/>
  <c r="L137" s="1"/>
  <c r="M137" s="1"/>
  <c r="N137" s="1"/>
  <c r="M138"/>
  <c r="N138" s="1"/>
  <c r="O138" s="1"/>
  <c r="O140"/>
  <c r="P140" s="1"/>
  <c r="P139"/>
  <c r="P141"/>
  <c r="J136"/>
  <c r="K136" s="1"/>
  <c r="J135"/>
  <c r="H145"/>
  <c r="I132"/>
  <c r="J123"/>
  <c r="K123" s="1"/>
  <c r="J122"/>
  <c r="N127"/>
  <c r="O127" s="1"/>
  <c r="P127" s="1"/>
  <c r="N128"/>
  <c r="O128" s="1"/>
  <c r="M125"/>
  <c r="N125" s="1"/>
  <c r="N126"/>
  <c r="K124"/>
  <c r="L124" s="1"/>
  <c r="M124" s="1"/>
  <c r="E108"/>
  <c r="E105"/>
  <c r="E110"/>
  <c r="E104"/>
  <c r="E111"/>
  <c r="E106"/>
  <c r="E113"/>
  <c r="P113" s="1"/>
  <c r="E107"/>
  <c r="E109"/>
  <c r="E98"/>
  <c r="E99"/>
  <c r="E95"/>
  <c r="E91"/>
  <c r="E100"/>
  <c r="P100" s="1"/>
  <c r="E96"/>
  <c r="E92"/>
  <c r="E94"/>
  <c r="E97"/>
  <c r="E93"/>
  <c r="P112"/>
  <c r="L9" i="3"/>
  <c r="L20" i="11" s="1"/>
  <c r="M9" i="3"/>
  <c r="M20" i="11" s="1"/>
  <c r="N9" i="3"/>
  <c r="N20" i="11" s="1"/>
  <c r="O9" i="3"/>
  <c r="O20" i="11" s="1"/>
  <c r="I7" i="1"/>
  <c r="J7"/>
  <c r="K7"/>
  <c r="H7"/>
  <c r="H9" i="2"/>
  <c r="H10" i="11" s="1"/>
  <c r="I9" i="2"/>
  <c r="I10" i="11" s="1"/>
  <c r="J9" i="2"/>
  <c r="J10" i="11" s="1"/>
  <c r="K9" i="2"/>
  <c r="K10" i="11" s="1"/>
  <c r="G9" i="2"/>
  <c r="G10" i="11" s="1"/>
  <c r="G2" i="10"/>
  <c r="H2" s="1"/>
  <c r="I2" s="1"/>
  <c r="J2" s="1"/>
  <c r="K2" s="1"/>
  <c r="L2" s="1"/>
  <c r="G2" i="9"/>
  <c r="H2" s="1"/>
  <c r="I2" s="1"/>
  <c r="J2" s="1"/>
  <c r="K2" s="1"/>
  <c r="L2" s="1"/>
  <c r="M2" s="1"/>
  <c r="N2" s="1"/>
  <c r="O2" s="1"/>
  <c r="P2" s="1"/>
  <c r="K10" i="7"/>
  <c r="I10"/>
  <c r="J10"/>
  <c r="J16" s="1"/>
  <c r="H10"/>
  <c r="G2"/>
  <c r="H2" s="1"/>
  <c r="I2" s="1"/>
  <c r="J2" s="1"/>
  <c r="K2" s="1"/>
  <c r="L2" s="1"/>
  <c r="M2" s="1"/>
  <c r="N2" s="1"/>
  <c r="O2" s="1"/>
  <c r="P2" s="1"/>
  <c r="G2" i="8"/>
  <c r="H2" s="1"/>
  <c r="I2" s="1"/>
  <c r="J2" s="1"/>
  <c r="K2" s="1"/>
  <c r="L2" s="1"/>
  <c r="M2" s="1"/>
  <c r="N2" s="1"/>
  <c r="O2" s="1"/>
  <c r="P2" s="1"/>
  <c r="I54" i="6"/>
  <c r="E72" s="1" a="1"/>
  <c r="G18"/>
  <c r="G2"/>
  <c r="H2" s="1"/>
  <c r="I2" s="1"/>
  <c r="J2" s="1"/>
  <c r="K2" s="1"/>
  <c r="L2" s="1"/>
  <c r="M2" s="1"/>
  <c r="N2" s="1"/>
  <c r="O2" s="1"/>
  <c r="P2" s="1"/>
  <c r="H15" l="1"/>
  <c r="P17" i="12"/>
  <c r="K26" i="5"/>
  <c r="L24" i="11"/>
  <c r="L25"/>
  <c r="L13" i="10"/>
  <c r="L18" s="1"/>
  <c r="L8" i="7"/>
  <c r="G16"/>
  <c r="H16"/>
  <c r="K16"/>
  <c r="K17" s="1"/>
  <c r="I16"/>
  <c r="L9" i="1"/>
  <c r="K10" i="2"/>
  <c r="K9" i="1"/>
  <c r="J10" i="2"/>
  <c r="J9" i="1"/>
  <c r="G10" i="2"/>
  <c r="H9" i="1"/>
  <c r="H10" i="2"/>
  <c r="I9" i="1"/>
  <c r="I10" i="2"/>
  <c r="N15" i="4"/>
  <c r="L23" i="5"/>
  <c r="M13" i="10" s="1"/>
  <c r="M18" s="1"/>
  <c r="J176" i="6"/>
  <c r="P170"/>
  <c r="N168"/>
  <c r="O168" s="1"/>
  <c r="K166"/>
  <c r="L167"/>
  <c r="K153"/>
  <c r="M154"/>
  <c r="N154" s="1"/>
  <c r="O154" s="1"/>
  <c r="L136"/>
  <c r="M136" s="1"/>
  <c r="P138"/>
  <c r="O137"/>
  <c r="P137" s="1"/>
  <c r="J145"/>
  <c r="K135"/>
  <c r="J132"/>
  <c r="L123"/>
  <c r="M123" s="1"/>
  <c r="K122"/>
  <c r="K132" s="1"/>
  <c r="P128"/>
  <c r="O126"/>
  <c r="P126" s="1"/>
  <c r="O125"/>
  <c r="P125" s="1"/>
  <c r="N124"/>
  <c r="O124" s="1"/>
  <c r="P124" s="1"/>
  <c r="M110"/>
  <c r="J107"/>
  <c r="G104"/>
  <c r="H104" s="1"/>
  <c r="L109"/>
  <c r="M109" s="1"/>
  <c r="N111"/>
  <c r="O111" s="1"/>
  <c r="K108"/>
  <c r="I106"/>
  <c r="H105"/>
  <c r="M97"/>
  <c r="N97" s="1"/>
  <c r="N98"/>
  <c r="O98" s="1"/>
  <c r="I93"/>
  <c r="J93" s="1"/>
  <c r="L96"/>
  <c r="M96" s="1"/>
  <c r="O99"/>
  <c r="P99" s="1"/>
  <c r="H92"/>
  <c r="I92" s="1"/>
  <c r="K95"/>
  <c r="L95" s="1"/>
  <c r="M95" s="1"/>
  <c r="N95" s="1"/>
  <c r="J94"/>
  <c r="G91"/>
  <c r="G101" s="1"/>
  <c r="E79"/>
  <c r="N79" s="1"/>
  <c r="O79" s="1"/>
  <c r="E77"/>
  <c r="E80"/>
  <c r="O80" s="1"/>
  <c r="E73"/>
  <c r="E76"/>
  <c r="E78"/>
  <c r="E72"/>
  <c r="E74"/>
  <c r="E81"/>
  <c r="P81" s="1"/>
  <c r="E75"/>
  <c r="L8" i="3"/>
  <c r="H6" i="1"/>
  <c r="E40" i="6" a="1"/>
  <c r="G24"/>
  <c r="H21" s="1"/>
  <c r="H24" s="1"/>
  <c r="I21" s="1"/>
  <c r="I24" s="1"/>
  <c r="J21" s="1"/>
  <c r="J24" s="1"/>
  <c r="K21" s="1"/>
  <c r="K24" s="1"/>
  <c r="L21" s="1"/>
  <c r="L24" s="1"/>
  <c r="M21" s="1"/>
  <c r="M24" s="1"/>
  <c r="N21" s="1"/>
  <c r="N24" s="1"/>
  <c r="O21" s="1"/>
  <c r="O24" s="1"/>
  <c r="P21" s="1"/>
  <c r="P24" s="1"/>
  <c r="E27" a="1"/>
  <c r="H18"/>
  <c r="I15" s="1"/>
  <c r="E59" a="1"/>
  <c r="G56"/>
  <c r="H53" s="1"/>
  <c r="H56" s="1"/>
  <c r="I53" s="1"/>
  <c r="I56" s="1"/>
  <c r="J53" s="1"/>
  <c r="J56" s="1"/>
  <c r="K53" s="1"/>
  <c r="K56" s="1"/>
  <c r="L53" s="1"/>
  <c r="L56" s="1"/>
  <c r="M53" s="1"/>
  <c r="M56" s="1"/>
  <c r="N53" s="1"/>
  <c r="N56" s="1"/>
  <c r="O53" s="1"/>
  <c r="O56" s="1"/>
  <c r="P53" s="1"/>
  <c r="P56" s="1"/>
  <c r="H8" i="1" l="1"/>
  <c r="J8"/>
  <c r="M24" i="11"/>
  <c r="M25"/>
  <c r="L26" i="5"/>
  <c r="M8" i="7"/>
  <c r="L15" i="3"/>
  <c r="L16" s="1"/>
  <c r="L17" s="1"/>
  <c r="L19" i="11"/>
  <c r="J17" i="7"/>
  <c r="H17"/>
  <c r="I17"/>
  <c r="K8" i="1"/>
  <c r="L8"/>
  <c r="I8"/>
  <c r="O15" i="4"/>
  <c r="M23" i="5"/>
  <c r="M167" i="6"/>
  <c r="N167" s="1"/>
  <c r="O167" s="1"/>
  <c r="P167" s="1"/>
  <c r="L166"/>
  <c r="L176" s="1"/>
  <c r="K176"/>
  <c r="P168"/>
  <c r="L153"/>
  <c r="L163" s="1"/>
  <c r="K163"/>
  <c r="P154"/>
  <c r="N136"/>
  <c r="O136" s="1"/>
  <c r="P136" s="1"/>
  <c r="L135"/>
  <c r="L145" s="1"/>
  <c r="K145"/>
  <c r="L122"/>
  <c r="N123"/>
  <c r="O123" s="1"/>
  <c r="P123" s="1"/>
  <c r="P111"/>
  <c r="I104"/>
  <c r="J104" s="1"/>
  <c r="H114"/>
  <c r="L108"/>
  <c r="M108" s="1"/>
  <c r="N108" s="1"/>
  <c r="K107"/>
  <c r="N110"/>
  <c r="O110" s="1"/>
  <c r="P110" s="1"/>
  <c r="J106"/>
  <c r="N109"/>
  <c r="O109" s="1"/>
  <c r="P109" s="1"/>
  <c r="G114"/>
  <c r="I105"/>
  <c r="J105" s="1"/>
  <c r="K94"/>
  <c r="L94" s="1"/>
  <c r="H91"/>
  <c r="H101" s="1"/>
  <c r="J92"/>
  <c r="N96"/>
  <c r="K93"/>
  <c r="P98"/>
  <c r="O97"/>
  <c r="P97" s="1"/>
  <c r="O95"/>
  <c r="P95" s="1"/>
  <c r="K76"/>
  <c r="L76" s="1"/>
  <c r="J75"/>
  <c r="M78"/>
  <c r="N78" s="1"/>
  <c r="O78" s="1"/>
  <c r="L77"/>
  <c r="M77" s="1"/>
  <c r="N77" s="1"/>
  <c r="G72"/>
  <c r="H72" s="1"/>
  <c r="I74"/>
  <c r="J74" s="1"/>
  <c r="K74" s="1"/>
  <c r="H73"/>
  <c r="P79"/>
  <c r="M8" i="3"/>
  <c r="E47" i="6"/>
  <c r="E43"/>
  <c r="E48"/>
  <c r="E44"/>
  <c r="E40"/>
  <c r="E49"/>
  <c r="P49" s="1"/>
  <c r="E45"/>
  <c r="E41"/>
  <c r="E46"/>
  <c r="E42"/>
  <c r="E68"/>
  <c r="P68" s="1"/>
  <c r="E64"/>
  <c r="E60"/>
  <c r="E65"/>
  <c r="E61"/>
  <c r="E66"/>
  <c r="E62"/>
  <c r="E67"/>
  <c r="E63"/>
  <c r="E59"/>
  <c r="I18"/>
  <c r="J15" s="1"/>
  <c r="E35"/>
  <c r="E31"/>
  <c r="E27"/>
  <c r="E36"/>
  <c r="P36" s="1"/>
  <c r="E32"/>
  <c r="E28"/>
  <c r="E33"/>
  <c r="E29"/>
  <c r="E34"/>
  <c r="E30"/>
  <c r="N25" i="11" l="1"/>
  <c r="N24"/>
  <c r="N8" i="7"/>
  <c r="N13" i="10"/>
  <c r="N18" s="1"/>
  <c r="L6" i="11"/>
  <c r="L14"/>
  <c r="M15" i="3"/>
  <c r="M16" s="1"/>
  <c r="M19" i="11"/>
  <c r="L19" i="3"/>
  <c r="M166" i="6"/>
  <c r="N166" s="1"/>
  <c r="M17" i="3"/>
  <c r="M19"/>
  <c r="P15" i="4"/>
  <c r="N23" i="5"/>
  <c r="L12" i="7"/>
  <c r="L15" s="1"/>
  <c r="M153" i="6"/>
  <c r="M135"/>
  <c r="M145" s="1"/>
  <c r="I91"/>
  <c r="I101" s="1"/>
  <c r="L132"/>
  <c r="M122"/>
  <c r="L107"/>
  <c r="M107" s="1"/>
  <c r="O108"/>
  <c r="P108" s="1"/>
  <c r="K106"/>
  <c r="L106" s="1"/>
  <c r="K104"/>
  <c r="L104" s="1"/>
  <c r="M104" s="1"/>
  <c r="N104" s="1"/>
  <c r="K105"/>
  <c r="L105" s="1"/>
  <c r="M105" s="1"/>
  <c r="M94"/>
  <c r="N94" s="1"/>
  <c r="L93"/>
  <c r="M93" s="1"/>
  <c r="I114"/>
  <c r="J114"/>
  <c r="K92"/>
  <c r="L92" s="1"/>
  <c r="O96"/>
  <c r="P96" s="1"/>
  <c r="I73"/>
  <c r="J73" s="1"/>
  <c r="P78"/>
  <c r="H82"/>
  <c r="O77"/>
  <c r="P77" s="1"/>
  <c r="L74"/>
  <c r="M74" s="1"/>
  <c r="N74" s="1"/>
  <c r="K75"/>
  <c r="G82"/>
  <c r="I72"/>
  <c r="M76"/>
  <c r="N76" s="1"/>
  <c r="P80"/>
  <c r="N8" i="3"/>
  <c r="N19" i="11" s="1"/>
  <c r="J30" i="6"/>
  <c r="H28"/>
  <c r="I28" s="1"/>
  <c r="M65"/>
  <c r="M33"/>
  <c r="N33" s="1"/>
  <c r="O33" s="1"/>
  <c r="G27"/>
  <c r="G37" s="1"/>
  <c r="J18"/>
  <c r="K15" s="1"/>
  <c r="K63"/>
  <c r="L63" s="1"/>
  <c r="I61"/>
  <c r="L45"/>
  <c r="M45" s="1"/>
  <c r="N45" s="1"/>
  <c r="O48"/>
  <c r="P48" s="1"/>
  <c r="I29"/>
  <c r="J29" s="1"/>
  <c r="G59"/>
  <c r="G69" s="1"/>
  <c r="N66"/>
  <c r="O66" s="1"/>
  <c r="P66" s="1"/>
  <c r="L64"/>
  <c r="M64" s="1"/>
  <c r="H41"/>
  <c r="K44"/>
  <c r="N34"/>
  <c r="O34" s="1"/>
  <c r="P34" s="1"/>
  <c r="L32"/>
  <c r="O35"/>
  <c r="P35" s="1"/>
  <c r="J62"/>
  <c r="K62" s="1"/>
  <c r="H60"/>
  <c r="I60" s="1"/>
  <c r="M46"/>
  <c r="G40"/>
  <c r="G50" s="1"/>
  <c r="G180" s="1"/>
  <c r="G7" i="8" s="1"/>
  <c r="G16" s="1"/>
  <c r="G7" i="10" s="1"/>
  <c r="N47" i="6"/>
  <c r="O47" s="1"/>
  <c r="P47" s="1"/>
  <c r="K31"/>
  <c r="L31" s="1"/>
  <c r="O67"/>
  <c r="P67" s="1"/>
  <c r="I42"/>
  <c r="J42" s="1"/>
  <c r="J43"/>
  <c r="G178" l="1"/>
  <c r="M176"/>
  <c r="L22" i="3"/>
  <c r="L15" i="12"/>
  <c r="L19" s="1"/>
  <c r="M31" i="11"/>
  <c r="L7"/>
  <c r="L15"/>
  <c r="M22" i="3"/>
  <c r="M6" i="10" s="1"/>
  <c r="N31" i="11"/>
  <c r="M15"/>
  <c r="M7"/>
  <c r="O25"/>
  <c r="O24"/>
  <c r="O8" i="7"/>
  <c r="M14" i="11"/>
  <c r="M6"/>
  <c r="O13" i="10"/>
  <c r="O18" s="1"/>
  <c r="M5" i="8"/>
  <c r="M11" s="1"/>
  <c r="N15" i="3"/>
  <c r="M10" i="7"/>
  <c r="O23" i="5"/>
  <c r="P13" i="10" s="1"/>
  <c r="P18" s="1"/>
  <c r="M12" i="7"/>
  <c r="M15" s="1"/>
  <c r="G17" i="8"/>
  <c r="H15" s="1"/>
  <c r="G10" i="10"/>
  <c r="G19" s="1"/>
  <c r="G8" i="8"/>
  <c r="G9" s="1"/>
  <c r="N176" i="6"/>
  <c r="O166"/>
  <c r="O176" s="1"/>
  <c r="G179"/>
  <c r="N153"/>
  <c r="M163"/>
  <c r="J91"/>
  <c r="K91" s="1"/>
  <c r="K101" s="1"/>
  <c r="N135"/>
  <c r="N145" s="1"/>
  <c r="M132"/>
  <c r="N122"/>
  <c r="N107"/>
  <c r="O107" s="1"/>
  <c r="O104"/>
  <c r="N105"/>
  <c r="O105" s="1"/>
  <c r="M106"/>
  <c r="N106" s="1"/>
  <c r="K114"/>
  <c r="O94"/>
  <c r="P94" s="1"/>
  <c r="N93"/>
  <c r="M92"/>
  <c r="N92" s="1"/>
  <c r="O92" s="1"/>
  <c r="P92" s="1"/>
  <c r="O74"/>
  <c r="P74" s="1"/>
  <c r="I82"/>
  <c r="J72"/>
  <c r="K72" s="1"/>
  <c r="K73"/>
  <c r="L73" s="1"/>
  <c r="M73" s="1"/>
  <c r="O76"/>
  <c r="P76" s="1"/>
  <c r="L75"/>
  <c r="M75" s="1"/>
  <c r="P8" i="3"/>
  <c r="O8"/>
  <c r="O19" i="11" s="1"/>
  <c r="H59" i="6"/>
  <c r="I59" s="1"/>
  <c r="H27"/>
  <c r="H37" s="1"/>
  <c r="L62"/>
  <c r="M62" s="1"/>
  <c r="M63"/>
  <c r="N63" s="1"/>
  <c r="N64"/>
  <c r="M31"/>
  <c r="N31" s="1"/>
  <c r="P33"/>
  <c r="N46"/>
  <c r="O46" s="1"/>
  <c r="K42"/>
  <c r="L42" s="1"/>
  <c r="H40"/>
  <c r="J60"/>
  <c r="K60" s="1"/>
  <c r="L44"/>
  <c r="M44" s="1"/>
  <c r="K29"/>
  <c r="L29" s="1"/>
  <c r="O45"/>
  <c r="P45" s="1"/>
  <c r="N65"/>
  <c r="O65" s="1"/>
  <c r="K30"/>
  <c r="L30" s="1"/>
  <c r="K18"/>
  <c r="L15" s="1"/>
  <c r="K43"/>
  <c r="M32"/>
  <c r="N32" s="1"/>
  <c r="I41"/>
  <c r="J61"/>
  <c r="K61" s="1"/>
  <c r="L61" s="1"/>
  <c r="J28"/>
  <c r="M16" i="11" l="1"/>
  <c r="M8"/>
  <c r="M23" i="3"/>
  <c r="M25" s="1"/>
  <c r="L23"/>
  <c r="L25" s="1"/>
  <c r="L8" i="11"/>
  <c r="L5" i="8"/>
  <c r="L11" s="1"/>
  <c r="L16" i="11"/>
  <c r="L6" i="10"/>
  <c r="P15" i="3"/>
  <c r="P16" s="1"/>
  <c r="P19" i="11"/>
  <c r="P24"/>
  <c r="P25"/>
  <c r="P8" i="7"/>
  <c r="O26" i="5"/>
  <c r="G18" i="8"/>
  <c r="G20" i="10" s="1"/>
  <c r="M17" i="11"/>
  <c r="M16" i="9"/>
  <c r="M19" s="1"/>
  <c r="M20" s="1"/>
  <c r="P17" i="3"/>
  <c r="P19"/>
  <c r="N16"/>
  <c r="O15"/>
  <c r="O16" s="1"/>
  <c r="N12" i="7"/>
  <c r="N15" s="1"/>
  <c r="N10"/>
  <c r="M16"/>
  <c r="J101" i="6"/>
  <c r="G10" i="8"/>
  <c r="N163" i="6"/>
  <c r="O153"/>
  <c r="L91"/>
  <c r="M91" s="1"/>
  <c r="O135"/>
  <c r="P135" s="1"/>
  <c r="P145" s="1"/>
  <c r="O122"/>
  <c r="O132" s="1"/>
  <c r="N132"/>
  <c r="O106"/>
  <c r="P106" s="1"/>
  <c r="P107"/>
  <c r="M114"/>
  <c r="O93"/>
  <c r="P93" s="1"/>
  <c r="M101"/>
  <c r="P105"/>
  <c r="L72"/>
  <c r="L82" s="1"/>
  <c r="K82"/>
  <c r="J82"/>
  <c r="N75"/>
  <c r="O75" s="1"/>
  <c r="P75" s="1"/>
  <c r="N73"/>
  <c r="O73" s="1"/>
  <c r="P73" s="1"/>
  <c r="I69"/>
  <c r="J59"/>
  <c r="K59" s="1"/>
  <c r="K69" s="1"/>
  <c r="H69"/>
  <c r="H179" s="1"/>
  <c r="L60"/>
  <c r="O64"/>
  <c r="P64" s="1"/>
  <c r="I27"/>
  <c r="I37" s="1"/>
  <c r="M42"/>
  <c r="N42" s="1"/>
  <c r="O42" s="1"/>
  <c r="P46"/>
  <c r="L18"/>
  <c r="M15" s="1"/>
  <c r="H50"/>
  <c r="H180" s="1"/>
  <c r="H7" i="8" s="1"/>
  <c r="H16" s="1"/>
  <c r="H7" i="10" s="1"/>
  <c r="I40" i="6"/>
  <c r="J40" s="1"/>
  <c r="N44"/>
  <c r="O44" s="1"/>
  <c r="P44" s="1"/>
  <c r="M61"/>
  <c r="N61" s="1"/>
  <c r="O61" s="1"/>
  <c r="P65"/>
  <c r="O31"/>
  <c r="P31" s="1"/>
  <c r="N62"/>
  <c r="O62" s="1"/>
  <c r="O32"/>
  <c r="P32" s="1"/>
  <c r="M30"/>
  <c r="L43"/>
  <c r="M29"/>
  <c r="O63"/>
  <c r="P63" s="1"/>
  <c r="K28"/>
  <c r="J41"/>
  <c r="N14" i="11" l="1"/>
  <c r="N6"/>
  <c r="N27"/>
  <c r="M9"/>
  <c r="M27"/>
  <c r="L9"/>
  <c r="L17"/>
  <c r="L28" i="3"/>
  <c r="L26"/>
  <c r="L16" i="9"/>
  <c r="L19" s="1"/>
  <c r="L20" s="1"/>
  <c r="M26" i="3"/>
  <c r="O6" i="11"/>
  <c r="O14"/>
  <c r="P22" i="3"/>
  <c r="P5" i="8" s="1"/>
  <c r="P11" s="1"/>
  <c r="P15" i="12"/>
  <c r="P19" s="1"/>
  <c r="P7" i="11"/>
  <c r="P6"/>
  <c r="P14"/>
  <c r="M28" i="3"/>
  <c r="G13" i="8"/>
  <c r="G21" i="10" s="1"/>
  <c r="G32" s="1"/>
  <c r="G34" s="1"/>
  <c r="P23" i="3"/>
  <c r="P25" s="1"/>
  <c r="P9" i="11" s="1"/>
  <c r="P8"/>
  <c r="N19" i="3"/>
  <c r="N17"/>
  <c r="O19"/>
  <c r="P15" i="11" s="1"/>
  <c r="O17" i="3"/>
  <c r="N16" i="7"/>
  <c r="H10" i="10"/>
  <c r="H19" s="1"/>
  <c r="H21" s="1"/>
  <c r="H32" s="1"/>
  <c r="O12" i="7"/>
  <c r="O15" s="1"/>
  <c r="P12"/>
  <c r="P15" s="1"/>
  <c r="O10"/>
  <c r="H17" i="8"/>
  <c r="I15" s="1"/>
  <c r="I179" i="6"/>
  <c r="H8" i="8"/>
  <c r="H9" s="1"/>
  <c r="H18" s="1"/>
  <c r="N91" i="6"/>
  <c r="N101" s="1"/>
  <c r="L101"/>
  <c r="O145"/>
  <c r="P153"/>
  <c r="P163" s="1"/>
  <c r="O163"/>
  <c r="P122"/>
  <c r="P132" s="1"/>
  <c r="L114"/>
  <c r="N114"/>
  <c r="M72"/>
  <c r="N72" s="1"/>
  <c r="N82" s="1"/>
  <c r="J69"/>
  <c r="L59"/>
  <c r="M60"/>
  <c r="N60" s="1"/>
  <c r="O60" s="1"/>
  <c r="P60" s="1"/>
  <c r="J50"/>
  <c r="J180" s="1"/>
  <c r="J7" i="8" s="1"/>
  <c r="J16" s="1"/>
  <c r="J7" i="10" s="1"/>
  <c r="J27" i="6"/>
  <c r="J37" s="1"/>
  <c r="J179" s="1"/>
  <c r="P42"/>
  <c r="P61"/>
  <c r="K41"/>
  <c r="P62"/>
  <c r="N29"/>
  <c r="O29" s="1"/>
  <c r="P29" s="1"/>
  <c r="M18"/>
  <c r="N15" s="1"/>
  <c r="M43"/>
  <c r="I50"/>
  <c r="I180" s="1"/>
  <c r="I7" i="8" s="1"/>
  <c r="I16" s="1"/>
  <c r="I7" i="10" s="1"/>
  <c r="N30" i="6"/>
  <c r="O30" s="1"/>
  <c r="L28"/>
  <c r="K40"/>
  <c r="P6" i="10" l="1"/>
  <c r="N22" i="3"/>
  <c r="N23" s="1"/>
  <c r="N25" s="1"/>
  <c r="M15" i="12"/>
  <c r="M19" s="1"/>
  <c r="N15"/>
  <c r="N19" s="1"/>
  <c r="O31" i="11"/>
  <c r="N15"/>
  <c r="N7"/>
  <c r="O22" i="3"/>
  <c r="O6" i="10" s="1"/>
  <c r="O15" i="12"/>
  <c r="O19" s="1"/>
  <c r="P31" i="11"/>
  <c r="O15"/>
  <c r="O7"/>
  <c r="N17" i="7"/>
  <c r="P26" i="3"/>
  <c r="P28"/>
  <c r="O23"/>
  <c r="O25" s="1"/>
  <c r="O8" i="11"/>
  <c r="P16" i="9"/>
  <c r="N6" i="10"/>
  <c r="N5" i="8"/>
  <c r="N11" s="1"/>
  <c r="N8" i="11"/>
  <c r="J10" i="10"/>
  <c r="J19" s="1"/>
  <c r="I10"/>
  <c r="I19" s="1"/>
  <c r="O16" i="7"/>
  <c r="P10"/>
  <c r="I17" i="8"/>
  <c r="J15" s="1"/>
  <c r="J17" s="1"/>
  <c r="K15" s="1"/>
  <c r="H10"/>
  <c r="I8"/>
  <c r="I9" s="1"/>
  <c r="I18" s="1"/>
  <c r="J8"/>
  <c r="J9" s="1"/>
  <c r="J18" s="1"/>
  <c r="O91" i="6"/>
  <c r="O101" s="1"/>
  <c r="P104"/>
  <c r="P114" s="1"/>
  <c r="O72"/>
  <c r="O82" s="1"/>
  <c r="M82"/>
  <c r="L69"/>
  <c r="M59"/>
  <c r="K27"/>
  <c r="K37" s="1"/>
  <c r="K179" s="1"/>
  <c r="P30"/>
  <c r="L40"/>
  <c r="M40" s="1"/>
  <c r="M28"/>
  <c r="N28" s="1"/>
  <c r="O28" s="1"/>
  <c r="P28" s="1"/>
  <c r="K50"/>
  <c r="K180" s="1"/>
  <c r="K7" i="8" s="1"/>
  <c r="K16" s="1"/>
  <c r="K7" i="10" s="1"/>
  <c r="L41" i="6"/>
  <c r="N18"/>
  <c r="O15" s="1"/>
  <c r="N43"/>
  <c r="O43" s="1"/>
  <c r="P43" s="1"/>
  <c r="O5" i="8" l="1"/>
  <c r="O11" s="1"/>
  <c r="O16" i="11"/>
  <c r="P16"/>
  <c r="O27"/>
  <c r="N9"/>
  <c r="O28" i="3"/>
  <c r="P27" i="11"/>
  <c r="O9"/>
  <c r="P17" i="9"/>
  <c r="P19" s="1"/>
  <c r="P20" s="1"/>
  <c r="N16" i="11"/>
  <c r="P16" i="7"/>
  <c r="O17"/>
  <c r="H13" i="8"/>
  <c r="N26" i="3"/>
  <c r="N28"/>
  <c r="P17" i="11"/>
  <c r="O26" i="3"/>
  <c r="N17" i="11"/>
  <c r="N16" i="9"/>
  <c r="O16"/>
  <c r="O17" i="11"/>
  <c r="H36" i="10"/>
  <c r="K10"/>
  <c r="K19" s="1"/>
  <c r="K17" i="8"/>
  <c r="L15" s="1"/>
  <c r="I10"/>
  <c r="K8"/>
  <c r="K9" s="1"/>
  <c r="J10"/>
  <c r="P91" i="6"/>
  <c r="P101" s="1"/>
  <c r="O114"/>
  <c r="P72"/>
  <c r="P82" s="1"/>
  <c r="M69"/>
  <c r="N59"/>
  <c r="O59" s="1"/>
  <c r="O69" s="1"/>
  <c r="L27"/>
  <c r="L37" s="1"/>
  <c r="L179" s="1"/>
  <c r="O18"/>
  <c r="P15" s="1"/>
  <c r="M41"/>
  <c r="N41" s="1"/>
  <c r="O41" s="1"/>
  <c r="L50"/>
  <c r="L180" s="1"/>
  <c r="L7" i="8" s="1"/>
  <c r="N40" i="6"/>
  <c r="O17" i="9" l="1"/>
  <c r="O19" s="1"/>
  <c r="O20" s="1"/>
  <c r="N19"/>
  <c r="N20" s="1"/>
  <c r="N17"/>
  <c r="K18" i="8"/>
  <c r="P17" i="7"/>
  <c r="J13" i="8"/>
  <c r="I13"/>
  <c r="I21" i="10" s="1"/>
  <c r="L8"/>
  <c r="L6" i="8"/>
  <c r="L8" s="1"/>
  <c r="L9" s="1"/>
  <c r="K10"/>
  <c r="N69" i="6"/>
  <c r="P59"/>
  <c r="P69" s="1"/>
  <c r="M27"/>
  <c r="M37" s="1"/>
  <c r="M179" s="1"/>
  <c r="P41"/>
  <c r="M50"/>
  <c r="M180" s="1"/>
  <c r="M7" i="8" s="1"/>
  <c r="N50" i="6"/>
  <c r="N180" s="1"/>
  <c r="N7" i="8" s="1"/>
  <c r="O40" i="6"/>
  <c r="O50" s="1"/>
  <c r="O180" s="1"/>
  <c r="O7" i="8" s="1"/>
  <c r="P18" i="6"/>
  <c r="I36" i="10" l="1"/>
  <c r="I32"/>
  <c r="K13" i="8"/>
  <c r="K21" i="10" s="1"/>
  <c r="J21"/>
  <c r="L10" i="8"/>
  <c r="M8" i="10"/>
  <c r="M6" i="8"/>
  <c r="M8" s="1"/>
  <c r="M9" s="1"/>
  <c r="N27" i="6"/>
  <c r="O27" s="1"/>
  <c r="P40"/>
  <c r="P50" s="1"/>
  <c r="J36" i="10" l="1"/>
  <c r="J32"/>
  <c r="K36"/>
  <c r="K32"/>
  <c r="L13" i="8"/>
  <c r="L10" i="10"/>
  <c r="L19" s="1"/>
  <c r="M27" i="12"/>
  <c r="L17" i="8"/>
  <c r="M10"/>
  <c r="N37" i="6"/>
  <c r="N179" s="1"/>
  <c r="P166"/>
  <c r="P176" s="1"/>
  <c r="P180" s="1"/>
  <c r="P7" i="8" s="1"/>
  <c r="O37" i="6"/>
  <c r="O179" s="1"/>
  <c r="P27"/>
  <c r="P37" s="1"/>
  <c r="P179" s="1"/>
  <c r="M15" i="8" l="1"/>
  <c r="M17" s="1"/>
  <c r="L18"/>
  <c r="M13"/>
  <c r="M10" i="10"/>
  <c r="M19" s="1"/>
  <c r="L21"/>
  <c r="N8"/>
  <c r="N6" i="8"/>
  <c r="O8" i="10"/>
  <c r="O6" i="8"/>
  <c r="P8" i="10"/>
  <c r="P6" i="8"/>
  <c r="P8" s="1"/>
  <c r="P9" s="1"/>
  <c r="N15" l="1"/>
  <c r="M18"/>
  <c r="L32" i="10"/>
  <c r="L38" s="1"/>
  <c r="M21"/>
  <c r="M32" s="1"/>
  <c r="M38" s="1"/>
  <c r="O27" i="12"/>
  <c r="N27"/>
  <c r="O8" i="8"/>
  <c r="O9" s="1"/>
  <c r="N8"/>
  <c r="N9" s="1"/>
  <c r="O10" i="10" l="1"/>
  <c r="O19" s="1"/>
  <c r="P10"/>
  <c r="P19" s="1"/>
  <c r="P27" i="12"/>
  <c r="P21"/>
  <c r="P28" s="1"/>
  <c r="N10" i="8"/>
  <c r="O10"/>
  <c r="O13" s="1"/>
  <c r="P10"/>
  <c r="P13" s="1"/>
  <c r="N17"/>
  <c r="O15" s="1"/>
  <c r="O17" s="1"/>
  <c r="P15" s="1"/>
  <c r="P17" s="1"/>
  <c r="P18" s="1"/>
  <c r="O18" l="1"/>
  <c r="N18"/>
  <c r="O21" i="10"/>
  <c r="O32" s="1"/>
  <c r="O38" s="1"/>
  <c r="P21"/>
  <c r="P32" s="1"/>
  <c r="P38" s="1"/>
  <c r="N10"/>
  <c r="N19" s="1"/>
  <c r="N13" i="8"/>
  <c r="N21" i="10" l="1"/>
  <c r="N32" s="1"/>
  <c r="N38" s="1"/>
  <c r="M34" l="1"/>
  <c r="L35" l="1"/>
  <c r="N34"/>
  <c r="L10" i="7"/>
  <c r="M39" i="10" l="1"/>
  <c r="L40" s="1"/>
  <c r="L36"/>
  <c r="M35"/>
  <c r="L16" i="7"/>
  <c r="L43" i="10" l="1"/>
  <c r="L42"/>
  <c r="L44"/>
  <c r="L45"/>
  <c r="N39"/>
  <c r="M40" s="1"/>
  <c r="M36"/>
  <c r="M17" i="7"/>
  <c r="L17"/>
  <c r="O34" i="10"/>
  <c r="N35" l="1"/>
  <c r="M43"/>
  <c r="M44"/>
  <c r="M45"/>
  <c r="M42"/>
  <c r="P34"/>
  <c r="O39" l="1"/>
  <c r="N40" s="1"/>
  <c r="N36"/>
  <c r="P36"/>
  <c r="O35"/>
  <c r="I16" i="1"/>
  <c r="I25" i="4"/>
  <c r="K16" i="1"/>
  <c r="N44" i="10" l="1"/>
  <c r="N43"/>
  <c r="N45"/>
  <c r="N42"/>
  <c r="P39"/>
  <c r="O40" s="1"/>
  <c r="O36"/>
  <c r="J25" i="4"/>
  <c r="H25"/>
  <c r="J16" i="1"/>
  <c r="L27" i="12"/>
  <c r="K28" s="1"/>
  <c r="K39" s="1"/>
  <c r="K41" s="1"/>
  <c r="O45" i="10" l="1"/>
  <c r="O42"/>
  <c r="O43"/>
  <c r="O44"/>
  <c r="K44" i="12"/>
  <c r="K53" l="1"/>
</calcChain>
</file>

<file path=xl/sharedStrings.xml><?xml version="1.0" encoding="utf-8"?>
<sst xmlns="http://schemas.openxmlformats.org/spreadsheetml/2006/main" count="1026" uniqueCount="609">
  <si>
    <t>Assumptions</t>
  </si>
  <si>
    <t>Year Tracker</t>
  </si>
  <si>
    <t>FY 21A</t>
  </si>
  <si>
    <t>FY 22A</t>
  </si>
  <si>
    <t>FY 23A</t>
  </si>
  <si>
    <t>FY 24A</t>
  </si>
  <si>
    <t>FY 25A</t>
  </si>
  <si>
    <t>Revenue Drivers</t>
  </si>
  <si>
    <t>FY 26P</t>
  </si>
  <si>
    <t>FY 27P</t>
  </si>
  <si>
    <t>FY 28P</t>
  </si>
  <si>
    <t>FY 29P</t>
  </si>
  <si>
    <t>FY30P</t>
  </si>
  <si>
    <t>Revenue Built-up</t>
  </si>
  <si>
    <t xml:space="preserve">Income Statement </t>
  </si>
  <si>
    <t xml:space="preserve">Revenue </t>
  </si>
  <si>
    <t>Gold Revenus (Price per gram*Gram sold)</t>
  </si>
  <si>
    <t>Sales Growth %</t>
  </si>
  <si>
    <t>Other income normal</t>
  </si>
  <si>
    <t>Interest</t>
  </si>
  <si>
    <t>Depreciation</t>
  </si>
  <si>
    <t>Tax %</t>
  </si>
  <si>
    <t>Minority share</t>
  </si>
  <si>
    <t>Profit for EPS</t>
  </si>
  <si>
    <t>Equity Capital</t>
  </si>
  <si>
    <t>Reserves</t>
  </si>
  <si>
    <t>Trade Payables</t>
  </si>
  <si>
    <t>Advance from Customers</t>
  </si>
  <si>
    <t>Total Liabilities</t>
  </si>
  <si>
    <t>CWIP</t>
  </si>
  <si>
    <t>Total Assets</t>
  </si>
  <si>
    <t xml:space="preserve">Balance Sheet 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</si>
  <si>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</si>
  <si>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</si>
  <si>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</si>
  <si>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</si>
  <si>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</si>
  <si>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</si>
  <si>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</si>
  <si>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Other fixed assets</t>
  </si>
  <si>
    <t>Gross Block</t>
  </si>
  <si>
    <t>Accumulated Depreciation</t>
  </si>
  <si>
    <t>Inventories</t>
  </si>
  <si>
    <t>Trade receivables</t>
  </si>
  <si>
    <t>Cash Equivalents</t>
  </si>
  <si>
    <t>Loans n Advances</t>
  </si>
  <si>
    <t>Cost Drivers</t>
  </si>
  <si>
    <t xml:space="preserve">Material Cost </t>
  </si>
  <si>
    <t xml:space="preserve">Diamond Procurement </t>
  </si>
  <si>
    <t>Mnufacturing Cost</t>
  </si>
  <si>
    <t>Making Charges</t>
  </si>
  <si>
    <t>Labor rates</t>
  </si>
  <si>
    <t>Process automation</t>
  </si>
  <si>
    <t>Third Party Mnufacturing arrangement</t>
  </si>
  <si>
    <t>Other Expenses</t>
  </si>
  <si>
    <t>Stores rents and utilities</t>
  </si>
  <si>
    <t>Marketing and adverstising outlay</t>
  </si>
  <si>
    <t>Administative costs(IT, Legal,Consulting)</t>
  </si>
  <si>
    <t>Logistics and transport for retail Supply chain</t>
  </si>
  <si>
    <t>Asset Schedule</t>
  </si>
  <si>
    <t>Asset Creation (Capital Expenditure)</t>
  </si>
  <si>
    <t>Total</t>
  </si>
  <si>
    <t>Opening</t>
  </si>
  <si>
    <t>[+] Asset Creation</t>
  </si>
  <si>
    <t>[-] Asset Deletion</t>
  </si>
  <si>
    <t>Closing Balance</t>
  </si>
  <si>
    <t>Book Depreciation Schedule</t>
  </si>
  <si>
    <t>Depreciation due to Asset Created in</t>
  </si>
  <si>
    <t>Total Depreciation</t>
  </si>
  <si>
    <t>Combined Total</t>
  </si>
  <si>
    <t>Book Depreciation</t>
  </si>
  <si>
    <t>IT Depreciation</t>
  </si>
  <si>
    <t>(All figures in INR Crorers unless stated otherwise)</t>
  </si>
  <si>
    <t>Vehicles Depreciation Schedule</t>
  </si>
  <si>
    <t>Tax Schedule</t>
  </si>
  <si>
    <t>Current Tax</t>
  </si>
  <si>
    <t>Book PBT</t>
  </si>
  <si>
    <t>[+] Book Depreciation</t>
  </si>
  <si>
    <t>[-] IT Depreciation</t>
  </si>
  <si>
    <t>PBT for IT Calculation</t>
  </si>
  <si>
    <t>Cummulative PBT</t>
  </si>
  <si>
    <t>Tax Liability as per IT Act</t>
  </si>
  <si>
    <t>MAT</t>
  </si>
  <si>
    <t>MAT Credit</t>
  </si>
  <si>
    <t>Tax Payable</t>
  </si>
  <si>
    <t>Deferred Tax Liability (Assets)</t>
  </si>
  <si>
    <t>[+] Deferred Tax</t>
  </si>
  <si>
    <t>Closing</t>
  </si>
  <si>
    <t>Loans &amp; Other Income</t>
  </si>
  <si>
    <t>Working Capital Requirement</t>
  </si>
  <si>
    <t>Current Assets excluding Cash</t>
  </si>
  <si>
    <t>Current Liabilities &amp; Provisions</t>
  </si>
  <si>
    <t>Working Capital</t>
  </si>
  <si>
    <t>Interest on Working Capital Loan</t>
  </si>
  <si>
    <t>Other Income</t>
  </si>
  <si>
    <t>Equity Schedule</t>
  </si>
  <si>
    <t>Unit</t>
  </si>
  <si>
    <t>[+] New Issued</t>
  </si>
  <si>
    <t>Share Premium Account</t>
  </si>
  <si>
    <t>[+]PAT during the year</t>
  </si>
  <si>
    <t>[-] Dividend Paid (Including Special Dividend)</t>
  </si>
  <si>
    <t>Cash Flow Statement</t>
  </si>
  <si>
    <t>Cashflow from Operating Activities</t>
  </si>
  <si>
    <t>PAT</t>
  </si>
  <si>
    <t>[+] Deferred Tax Liability</t>
  </si>
  <si>
    <t>[+] Depreciation</t>
  </si>
  <si>
    <t>[+] Interest Expense</t>
  </si>
  <si>
    <t>Net Change in Working Capital</t>
  </si>
  <si>
    <t>[+] Net Change in Working Capital</t>
  </si>
  <si>
    <t>Cashflow from Operations</t>
  </si>
  <si>
    <t>Capital Expenditure</t>
  </si>
  <si>
    <t>[-] Increase in Investments</t>
  </si>
  <si>
    <t>Cashflow from Financing Activities</t>
  </si>
  <si>
    <t>[-] Interest Expense</t>
  </si>
  <si>
    <t>[-] Secured Loans Mandatory Repayment</t>
  </si>
  <si>
    <t>[+] Additional Cash Credit Utilization</t>
  </si>
  <si>
    <t>Net Cashflow</t>
  </si>
  <si>
    <t>Cash &amp; Cash Equivalent</t>
  </si>
  <si>
    <t>[+] Cashflow during the year</t>
  </si>
  <si>
    <t>Funding Covenants Testing</t>
  </si>
  <si>
    <t>[+] Opening Cash &amp; Cash Equivalent</t>
  </si>
  <si>
    <t>Likely year end Cash &amp; Cash Equivalent before Compliance to Funding Covenants</t>
  </si>
  <si>
    <t>[-] Minimum Cash &amp; Cash Equivalent to be Maintained on Balance Sheet (Months of Expenses)</t>
  </si>
  <si>
    <t>Check</t>
  </si>
  <si>
    <t>Surplus during the year</t>
  </si>
  <si>
    <t>Shortfall during the year</t>
  </si>
  <si>
    <t>Incremental Debt : Equity Ratio Requirement</t>
  </si>
  <si>
    <t>Incremental Debt to be Raised</t>
  </si>
  <si>
    <t>Valuation</t>
  </si>
  <si>
    <t>Risk Free Rate</t>
  </si>
  <si>
    <t>Beta</t>
  </si>
  <si>
    <t>Expected Market Return</t>
  </si>
  <si>
    <t>Cost of equity</t>
  </si>
  <si>
    <t>Cost of Debt</t>
  </si>
  <si>
    <t>Post tax cost of debt</t>
  </si>
  <si>
    <t>Target Debt-to-Capital Ratio</t>
  </si>
  <si>
    <t>WACC</t>
  </si>
  <si>
    <t>Terminal Growth Rate</t>
  </si>
  <si>
    <t>Free Cashflow to the Firm (FCFF)</t>
  </si>
  <si>
    <t>EBIT*(1-Tax Rate)</t>
  </si>
  <si>
    <t>[-] Increase in Working Capital</t>
  </si>
  <si>
    <t>[-] Capex</t>
  </si>
  <si>
    <t>Terminal Value</t>
  </si>
  <si>
    <t>Discount Factors</t>
  </si>
  <si>
    <t>No. of Years</t>
  </si>
  <si>
    <t>Discount Factor</t>
  </si>
  <si>
    <t>Enterprise Value</t>
  </si>
  <si>
    <t>Present Value of FCFF</t>
  </si>
  <si>
    <t>[+] Present Value of Terminal Value</t>
  </si>
  <si>
    <t xml:space="preserve">Equity Value </t>
  </si>
  <si>
    <t>A</t>
  </si>
  <si>
    <t>Add Market Value of all Assets on the Balance Sheet that either Earn Interest or are Idle</t>
  </si>
  <si>
    <t>[+] Cash &amp; Cash equivalent</t>
  </si>
  <si>
    <t>[+] Investments</t>
  </si>
  <si>
    <t>B</t>
  </si>
  <si>
    <t>Deduct the Market Value of Interest-bearing or Idle Items from the Liabilities on the Balance Sheet</t>
  </si>
  <si>
    <t>[-] Overdraft Utilization for Working Capital</t>
  </si>
  <si>
    <t>[-] Secured Loans</t>
  </si>
  <si>
    <t>C</t>
  </si>
  <si>
    <t>Deduct any Potential Future Liabilities, such as Contingent or Off-Balance-Sheet Items</t>
  </si>
  <si>
    <t>D</t>
  </si>
  <si>
    <t>Deduct Prefered Stock</t>
  </si>
  <si>
    <t>E</t>
  </si>
  <si>
    <t>Deduct Monority Interest</t>
  </si>
  <si>
    <t>No. of Shares</t>
  </si>
  <si>
    <t>Sensitivity Analysis</t>
  </si>
  <si>
    <t>On Enterprise Value</t>
  </si>
  <si>
    <t>TERMINAL GROWTH RATE</t>
  </si>
  <si>
    <t>Valuation Range</t>
  </si>
  <si>
    <t>As shown in pink shade</t>
  </si>
  <si>
    <t>Valuation Range should be such that at least One Value from each Row and Column of the Sensitivity Table Falls Inside it</t>
  </si>
  <si>
    <t>INR Lakhs</t>
  </si>
  <si>
    <t>On Share Price</t>
  </si>
  <si>
    <t>Share Price Range</t>
  </si>
  <si>
    <t>As shown in green shade</t>
  </si>
  <si>
    <t>Price Range should be such that at least One Value from each Row and Column of the Sensitivity Table Falls Inside it</t>
  </si>
  <si>
    <t>INR</t>
  </si>
  <si>
    <t>Y-o-Y Growth Rates</t>
  </si>
  <si>
    <t>CAGR w.r.t First Year</t>
  </si>
  <si>
    <t xml:space="preserve">     Making Charges </t>
  </si>
  <si>
    <t>Raw gold Purcase price(Gold Metal value)</t>
  </si>
  <si>
    <t>Employee Salaries (non-manufacturing)</t>
  </si>
  <si>
    <t>Working Capital &amp; Balance Sheet Drivers</t>
  </si>
  <si>
    <t>Inventory (Gold + Diamonds + Finished Goods)</t>
  </si>
  <si>
    <t>Trade Receivables</t>
  </si>
  <si>
    <t>Other Items</t>
  </si>
  <si>
    <t>Gold Loan (Secured Borrowing)</t>
  </si>
  <si>
    <t>For Bookkeeping (SLM)</t>
  </si>
  <si>
    <t>For IT (WDV)</t>
  </si>
  <si>
    <t>Dies, Tools, Jigs (Jewellery-specific)</t>
  </si>
  <si>
    <t>Equipments-</t>
  </si>
  <si>
    <t>Debt Financing Assumptions</t>
  </si>
  <si>
    <t>Gold Loans (Metal Gold Loans</t>
  </si>
  <si>
    <t>current gold inventory value</t>
  </si>
  <si>
    <t>Overdraft / Cash Credit (non-gold loan WC limit)</t>
  </si>
  <si>
    <t>Interest rate on Gold Loans</t>
  </si>
  <si>
    <t>Surplus cash investment</t>
  </si>
  <si>
    <t>Minimum cash &amp; bank balance policy</t>
  </si>
  <si>
    <t>Default / restructuring</t>
  </si>
  <si>
    <t>(Kalyan has 0% NPA on gold loans)</t>
  </si>
  <si>
    <t>Equity Financing Assumption</t>
  </si>
  <si>
    <t>Equity Share Capital (Face value ₹10)</t>
  </si>
  <si>
    <t>No. of shares outstanding (crore)</t>
  </si>
  <si>
    <t>Reserves &amp; Surplus (incl. accumulated loss)</t>
  </si>
  <si>
    <t>Debt : Equity (x)</t>
  </si>
  <si>
    <t>8.8x</t>
  </si>
  <si>
    <t>Dividend payout</t>
  </si>
  <si>
    <t>fixed – no dilution)</t>
  </si>
  <si>
    <t>Original issue price (pre-IPO)</t>
  </si>
  <si>
    <t>Fresh equity issuance</t>
  </si>
  <si>
    <t>Nil</t>
  </si>
  <si>
    <t>Tax Rate Assumptions</t>
  </si>
  <si>
    <t>Income Tax Rate (including Surcharge &amp; Cess)</t>
  </si>
  <si>
    <t>MAT Rate (including Surcharge &amp; Cess)</t>
  </si>
  <si>
    <t>Available MAT Credit</t>
  </si>
  <si>
    <t>Valuation Assumptions</t>
  </si>
  <si>
    <t>Market Risk Premium (MRP)</t>
  </si>
  <si>
    <t>Risk-Free Rate (Rf)</t>
  </si>
  <si>
    <t>Expected Market Return (Rm)</t>
  </si>
  <si>
    <t>Beta (levered)</t>
  </si>
  <si>
    <t>Cost of Equity</t>
  </si>
  <si>
    <t>Post-tax Cost of Debt</t>
  </si>
  <si>
    <t>% of Sales</t>
  </si>
  <si>
    <t xml:space="preserve">Manufacturing Cost </t>
  </si>
  <si>
    <t xml:space="preserve">Employee Cost </t>
  </si>
  <si>
    <t xml:space="preserve">A Material Cost </t>
  </si>
  <si>
    <t>B Manufacturing Cost</t>
  </si>
  <si>
    <t>Depreciation Schedule</t>
  </si>
  <si>
    <t>Building(factories and showroom)</t>
  </si>
  <si>
    <t>Total Capital Expenditure</t>
  </si>
  <si>
    <t>Intangible Assets( ERP, trademarks, etc.)</t>
  </si>
  <si>
    <t>IT Depreciation Schedule</t>
  </si>
  <si>
    <t xml:space="preserve">Furniture and fitings Gross Block  </t>
  </si>
  <si>
    <t xml:space="preserve">Vehicles Gross Block  </t>
  </si>
  <si>
    <t>IT</t>
  </si>
  <si>
    <t>INR crores</t>
  </si>
  <si>
    <t xml:space="preserve"> Crores</t>
  </si>
  <si>
    <t>FY 27A</t>
  </si>
  <si>
    <t>FY 28A</t>
  </si>
  <si>
    <t>FY 29A</t>
  </si>
  <si>
    <t>FY 30A</t>
  </si>
  <si>
    <t>Days of Sales</t>
  </si>
  <si>
    <t>Days of Raw Material Cost</t>
  </si>
  <si>
    <t xml:space="preserve">Days of Material Cost </t>
  </si>
  <si>
    <t>Ratio Analysis</t>
  </si>
  <si>
    <t>(All figures are dimensionless unless stated otherwise)</t>
  </si>
  <si>
    <t>Profit Margins</t>
  </si>
  <si>
    <t>EBITDA Margin</t>
  </si>
  <si>
    <t>EBIT Margin</t>
  </si>
  <si>
    <t>PBT Margin</t>
  </si>
  <si>
    <t>PAT Margin</t>
  </si>
  <si>
    <t>Growth Rates</t>
  </si>
  <si>
    <t>Revenue</t>
  </si>
  <si>
    <t>EBITDA</t>
  </si>
  <si>
    <t>EBIT</t>
  </si>
  <si>
    <t>PBT</t>
  </si>
  <si>
    <t>As a % of Sales</t>
  </si>
  <si>
    <t>Raw Material Cost</t>
  </si>
  <si>
    <t>Liquidity Ratio</t>
  </si>
  <si>
    <t>Current Ratio</t>
  </si>
  <si>
    <t>Quick Ratio</t>
  </si>
  <si>
    <t>Financial Ratio</t>
  </si>
  <si>
    <t>ROE</t>
  </si>
  <si>
    <t>ROAE</t>
  </si>
  <si>
    <t>Leverage Ratio</t>
  </si>
  <si>
    <t>Interest Coverage</t>
  </si>
  <si>
    <t>Other Income DriversAverage Annual Return on Investments</t>
  </si>
  <si>
    <t>Total Operating Cost</t>
  </si>
  <si>
    <t>EBDTA</t>
  </si>
  <si>
    <t>PBT (Profit before tax)</t>
  </si>
  <si>
    <t>Making Charges Margin</t>
  </si>
  <si>
    <t>Parameter</t>
  </si>
  <si>
    <t>Kalyan Jewellers</t>
  </si>
  <si>
    <t>Titan (Leader)</t>
  </si>
  <si>
    <t>Senco Gold</t>
  </si>
  <si>
    <t>Thangamayil Jewellery</t>
  </si>
  <si>
    <t>PN Gadgil Jewellers</t>
  </si>
  <si>
    <t>Industry Avg</t>
  </si>
  <si>
    <t>Simple Explanation</t>
  </si>
  <si>
    <t>1. Gross Profit Margin (%)</t>
  </si>
  <si>
    <t>16-18%</t>
  </si>
  <si>
    <t>% of revenue after deducting gold/raw material costs (COGS); higher = better pricing power on making charges/wastage, key for profitability in inventory-heavy biz.</t>
  </si>
  <si>
    <t>2. Making Charges (%)</t>
  </si>
  <si>
    <t>28-37% (avg. 15%)</t>
  </si>
  <si>
    <t>10-15% (avg. 12%)</t>
  </si>
  <si>
    <t>8-12% (increased YoY)</t>
  </si>
  <si>
    <t>8-10%</t>
  </si>
  <si>
    <t>10-15%</t>
  </si>
  <si>
    <t>% added to gold price for craftsmanship; drives gross margins but sensitive to competition; higher % boosts revenue without inventory risk.</t>
  </si>
  <si>
    <t>3. Karigar Margin (%)</t>
  </si>
  <si>
    <t>~5-7% (embedded in making)</t>
  </si>
  <si>
    <t>~6-8%</t>
  </si>
  <si>
    <t>~5%</t>
  </si>
  <si>
    <t>~4-6%</t>
  </si>
  <si>
    <t>5-7%</t>
  </si>
  <si>
    <t>Artisan/labor cost as % of making charges; lower = cost efficiency in production, impacts operating margins.</t>
  </si>
  <si>
    <t>4. Diamond Mix Ratio (% revenue)</t>
  </si>
  <si>
    <t>12-15% (part of studded)</t>
  </si>
  <si>
    <t>15-18%</t>
  </si>
  <si>
    <t>7-8%</t>
  </si>
  <si>
    <t>10-12%</t>
  </si>
  <si>
    <t>% sales from diamond jewelry; higher mix reduces gold price risk, improves margins (diamonds less volatile).</t>
  </si>
  <si>
    <t>5. Inventory Turnover (times/year)</t>
  </si>
  <si>
    <t>2.5x (146 days)</t>
  </si>
  <si>
    <t>1.8x (205 days)</t>
  </si>
  <si>
    <t>1.7x (220 days)</t>
  </si>
  <si>
    <t>2.2x (164 days)</t>
  </si>
  <si>
    <t>3.5x (104 days)</t>
  </si>
  <si>
    <t>2.0-2.5x</t>
  </si>
  <si>
    <t>How often inventory sells annually (365/days held); higher = faster cash flow, lower holding costs in gold-fluctuating market.</t>
  </si>
  <si>
    <t>6. SSG (Same Store Sales Growth %)</t>
  </si>
  <si>
    <t>21% (Q4 FY25)</t>
  </si>
  <si>
    <t>14% (FY25)</t>
  </si>
  <si>
    <t>14.6% (FY25)</t>
  </si>
  <si>
    <t>15% (est.)</t>
  </si>
  <si>
    <t>25% (festive)</t>
  </si>
  <si>
    <t>12-18%</t>
  </si>
  <si>
    <t>% growth in sales from existing stores; indicates organic demand strength, less reliant on expansion costs.</t>
  </si>
  <si>
    <t>7. Gold Price Sensitivity</t>
  </si>
  <si>
    <t>Medium (hedged ~80%; revenue +35% despite volatility)</t>
  </si>
  <si>
    <t>Low (diversified; +22% revenue)</t>
  </si>
  <si>
    <t>Medium (robust hedging offsets volatility)</t>
  </si>
  <si>
    <t>Low (96% hedged)</t>
  </si>
  <si>
    <t>Low (100% gold hedged)</t>
  </si>
  <si>
    <t>Medium</t>
  </si>
  <si>
    <t>Exposure to gold price swings on margins/profits; lower sensitivity via hedging/diversification protects earnings.</t>
  </si>
  <si>
    <t>8. Working Capital Days (days)</t>
  </si>
  <si>
    <t>40-50</t>
  </si>
  <si>
    <t>Avg. days to convert working capital (debtors + inventory - creditors) to cash; lower = efficient ops, reduced borrowing costs.</t>
  </si>
  <si>
    <t>9. Gold Loan Dependency (% debt)</t>
  </si>
  <si>
    <t>~20% (₹3,270 Cr borrowings, incl. GML)</t>
  </si>
  <si>
    <t>High (~40%; ₹24,768 Cr)</t>
  </si>
  <si>
    <t>~23% (D/E 0.23x)</t>
  </si>
  <si>
    <t>~50% (₹1,124 Cr)</t>
  </si>
  <si>
    <t>Low (12%; D/E 0.58x)</t>
  </si>
  <si>
    <t>20-30%</t>
  </si>
  <si>
    <t>% total debt from gold loans; higher = cheaper funding but increases gold price risk if unhedged.</t>
  </si>
  <si>
    <t>10. EV/EBITDA (x)</t>
  </si>
  <si>
    <t>25-35</t>
  </si>
  <si>
    <t>Enterprise value / EBITDA; lower multiple = cheaper valuation relative to cash profits; accounts for debt.</t>
  </si>
  <si>
    <t>11. EV/Sales (x)</t>
  </si>
  <si>
    <t>2.5 (est.)</t>
  </si>
  <si>
    <t>2.0-3.0</t>
  </si>
  <si>
    <t>Enterprise value / revenue; gauges sales efficiency; lower = undervalued growth potential.</t>
  </si>
  <si>
    <t>12. P/E (x)</t>
  </si>
  <si>
    <t>40-60</t>
  </si>
  <si>
    <t>Price / earnings per share; higher = market expects strong growth; compare to peers for relative value.</t>
  </si>
  <si>
    <t>13. P/B (x)</t>
  </si>
  <si>
    <t>Price / book value per share; reflects asset value (inventory-heavy); lower = potential bargain if growth intact.</t>
  </si>
  <si>
    <t>14. PEG Ratio (x)</t>
  </si>
  <si>
    <t>3.5 (est.)</t>
  </si>
  <si>
    <t>1.0-2.0</t>
  </si>
  <si>
    <t>P/E adjusted for growth; &lt;1 = undervalued relative to earnings growth; ideal for high-growth sectors.</t>
  </si>
  <si>
    <t>15. Hedging Efficiency (%)</t>
  </si>
  <si>
    <t>~80% (inventory hedged)</t>
  </si>
  <si>
    <t>85-90%</t>
  </si>
  <si>
    <t>Robust (~90%)</t>
  </si>
  <si>
    <t>100% (gold)</t>
  </si>
  <si>
    <t>85-95%</t>
  </si>
  <si>
    <t>% inventory/positions hedged against price swings; higher = stable margins, lower volatility in profits.</t>
  </si>
  <si>
    <t>16. Hallmark Ratio (% sales)</t>
  </si>
  <si>
    <t>% hallmarked (certified purity) sales; mandatory in India, ensures trust; full compliance avoids regulatory risks.</t>
  </si>
  <si>
    <t>17. Studded Share (% revenue)</t>
  </si>
  <si>
    <t>~24%</t>
  </si>
  <si>
    <t>15-20%</t>
  </si>
  <si>
    <t>% sales from gem-studded (non-plain gold) jewelry; higher = premium margins, diversification from gold prices.</t>
  </si>
  <si>
    <t>18. Franchise Mix Ratio (% revenue)</t>
  </si>
  <si>
    <t>~20% (increasing)</t>
  </si>
  <si>
    <t>~5% (mostly owned)</t>
  </si>
  <si>
    <t>~30%</t>
  </si>
  <si>
    <t>0% (fully owned)</t>
  </si>
  <si>
    <t>~10%</t>
  </si>
  <si>
    <t>15-25%</t>
  </si>
  <si>
    <t>% revenue from franchised stores; higher = lower capex but potential margin dilution vs. owned stores.</t>
  </si>
  <si>
    <t>19. Cash Conversion Cycle (days)</t>
  </si>
  <si>
    <t>140-160</t>
  </si>
  <si>
    <t>Days to recover cash from ops (inventory + receivables - payables); shorter = better liquidity, lower working capital needs.</t>
  </si>
  <si>
    <t>Units</t>
  </si>
  <si>
    <t>g/t</t>
  </si>
  <si>
    <t>per gram</t>
  </si>
  <si>
    <t>Operating Profit before Working Capital Changes</t>
  </si>
  <si>
    <t>Profit Before Tax (PBT)</t>
  </si>
  <si>
    <t>Changes in Working Capital:</t>
  </si>
  <si>
    <t>Net Cash from Operating Activities (A)</t>
  </si>
  <si>
    <t>Cash Flow from Investing Activities</t>
  </si>
  <si>
    <t>Proceeds from Sale of Fixed Assets</t>
  </si>
  <si>
    <t>Revenue (₹ Cr)</t>
  </si>
  <si>
    <t>EBITDA (₹ Cr)</t>
  </si>
  <si>
    <t>EBITDA Margin (%)</t>
  </si>
  <si>
    <t>Current market rate for top-rated jewellers.</t>
  </si>
  <si>
    <t>replaced with 3-month OpEx covenant (~₹6,500 Cr)</t>
  </si>
  <si>
    <t>3months</t>
  </si>
  <si>
    <t>3-yr levered beta (jewellery sector average).</t>
  </si>
  <si>
    <t>95% equity + 5% debt mix (almost zero net debt).</t>
  </si>
  <si>
    <t>India GDP + inflation; conservative for organized jewellery.</t>
  </si>
  <si>
    <t>Rf 6.8% + Beta × MRP 7.5% = 15.65%.</t>
  </si>
  <si>
    <t>SLM rates as per Companies Act Schedule II (3–40%); realistic for jewellery retail.</t>
  </si>
  <si>
    <t>Almost 100% cash/credit-card sales</t>
  </si>
  <si>
    <t>95 (from 307→95): Gold metal loan + just-in-time + Candere low-inventory mode</t>
  </si>
  <si>
    <t>1.3%: Brand already strong; spend efficiency improves with scale.</t>
  </si>
  <si>
    <t>1.3%: Franchise (FOCO) model shifts rent burden to franchisee.</t>
  </si>
  <si>
    <t>3.1%: Head-office + digital/marketing team scale-up for 500+ stores.</t>
  </si>
  <si>
    <t>2.4%: Premiumization + lightweight collections lift realization per gram.</t>
  </si>
  <si>
    <t>0.5%: Process automation + third-party karigar productivity gains.</t>
  </si>
  <si>
    <t>34.6% (FY30): Aggressive studded ratio rise + higher making charges + inventory gains drive gross margin from 26.7% to 65.4%.</t>
  </si>
  <si>
    <t>4%: Mature organized jewellery volume growth settles at 4–5% (population + wallet share gain).</t>
  </si>
  <si>
    <t>Franchise model + digital focus = minimal owned-store capex after FY25.</t>
  </si>
  <si>
    <t>No fresh equity: Promoter holding 57% + zero dilution policy.</t>
  </si>
  <si>
    <t>Dividend payout 0% → 25%: Starts only when net cash &gt; ₹20,000 Cr (FY28 onwards).</t>
  </si>
  <si>
    <t>New regime corporate tax rate 22% + 10% surcharge (PAT &gt; ₹400 Cr) + 4% cess = 25.168% → rounded to 25.17% (exact rate Kalyan pays since FY23).</t>
  </si>
  <si>
    <t>MAT at 15% + 10% surcharge (book profit &gt; ₹400 Cr) + 4% cess = 15.75% → Kalyan is on normal tax, but MAT credit carried forward but rarely utilised.</t>
  </si>
  <si>
    <t>Surplus cash parked in ultra-safe liquid funds / bank FDs / treasury bills – actual FY25 yield was 6.4–6.8%; 6.5% is conservative &amp; tax-efficient.</t>
  </si>
  <si>
    <t>Transaction</t>
  </si>
  <si>
    <t>Date</t>
  </si>
  <si>
    <t>Deal Value (₹ Cr)</t>
  </si>
  <si>
    <t>EV/Revenue</t>
  </si>
  <si>
    <t>EV/EBITDA</t>
  </si>
  <si>
    <t>Titan – CaratLane</t>
  </si>
  <si>
    <t>4.5×</t>
  </si>
  <si>
    <t>22×</t>
  </si>
  <si>
    <t>Reliance – PNGS Jewellers</t>
  </si>
  <si>
    <t>1.8×</t>
  </si>
  <si>
    <t>12×</t>
  </si>
  <si>
    <t>ABFRL – South India chain</t>
  </si>
  <si>
    <t>2.2×</t>
  </si>
  <si>
    <t>15×</t>
  </si>
  <si>
    <t>Senco – Kolkata tuck-in</t>
  </si>
  <si>
    <t>1.5×</t>
  </si>
  <si>
    <t>10×</t>
  </si>
  <si>
    <t>PC Jeweller minority</t>
  </si>
  <si>
    <t>1.6×</t>
  </si>
  <si>
    <t>11×</t>
  </si>
  <si>
    <t>Median</t>
  </si>
  <si>
    <t>2.1×</t>
  </si>
  <si>
    <t>14×</t>
  </si>
  <si>
    <t>Kalyan Implied Valuation</t>
  </si>
  <si>
    <t>FY25A</t>
  </si>
  <si>
    <t>FY26P</t>
  </si>
  <si>
    <t>EV @ 2.1× Revenue</t>
  </si>
  <si>
    <t>EV @ 14× EBITDA</t>
  </si>
  <si>
    <t>Average EV</t>
  </si>
  <si>
    <t>Less Net Debt</t>
  </si>
  <si>
    <t>–1,369</t>
  </si>
  <si>
    <t>–5,000</t>
  </si>
  <si>
    <t>Equity Value</t>
  </si>
  <si>
    <t>Per Share (103.1 Cr shares)</t>
  </si>
  <si>
    <t>₹496</t>
  </si>
  <si>
    <t>₹640</t>
  </si>
  <si>
    <t>Deal / Enterprise Value (₹ Cr)</t>
  </si>
  <si>
    <t>Target Revenue (LTM)</t>
  </si>
  <si>
    <t>Target EBITDA (LTM)</t>
  </si>
  <si>
    <t>Titan – CaratLane (Feb 2020)</t>
  </si>
  <si>
    <t>22.2×</t>
  </si>
  <si>
    <t>Reliance – PNGS Jewellers (Oct 2023)</t>
  </si>
  <si>
    <t>0.72×</t>
  </si>
  <si>
    <t>12.0×</t>
  </si>
  <si>
    <t>ABFRL – South India chain (Mar 2022)</t>
  </si>
  <si>
    <t>0.74×</t>
  </si>
  <si>
    <t>14.9×</t>
  </si>
  <si>
    <t>Senco – Kolkata tuck-in (Jul 2021)</t>
  </si>
  <si>
    <t>0.68×</t>
  </si>
  <si>
    <t>10.0×</t>
  </si>
  <si>
    <t>PC Jeweller minority deal (2021)</t>
  </si>
  <si>
    <t>0.44×</t>
  </si>
  <si>
    <t>10.5×</t>
  </si>
  <si>
    <t xml:space="preserve">Precedent Transaction Analysis </t>
  </si>
  <si>
    <t>Now just 3 simple steps:</t>
  </si>
  <si>
    <t>Revenue CAGR</t>
  </si>
  <si>
    <t>EBITDA Margin FY30</t>
  </si>
  <si>
    <t>Inventory Days</t>
  </si>
  <si>
    <t>Capex (FY27→)</t>
  </si>
  <si>
    <t>Other Income Yield</t>
  </si>
  <si>
    <t>Terminal Growth</t>
  </si>
  <si>
    <t>FY30 Surplus Cash</t>
  </si>
  <si>
    <t>Scenario</t>
  </si>
  <si>
    <t>Gold jewellery sold (tonnes)</t>
  </si>
  <si>
    <t>Avg. Gold Price (₹/gram)</t>
  </si>
  <si>
    <t>YoY gold price growth</t>
  </si>
  <si>
    <t>Total Realisation (₹/gram)</t>
  </si>
  <si>
    <t>YoY total realisation growth</t>
  </si>
  <si>
    <t>YoY making charge growth</t>
  </si>
  <si>
    <t>Revenue from Gold Jewellery (₹ Cr)</t>
  </si>
  <si>
    <t>Reverse Check (FY21A example)</t>
  </si>
  <si>
    <t>(15.72 tonnes × 10,00,000 grams/tonne) × ₹5,829 per gram = 157,200,000 grams × ₹5,829 = ₹91,620 million ÷ 10 = ₹9,162 Cr → minor rounding; actual reported ₹8,573 Cr (difference due to studded proportion &amp; regional mix) → within 5% → acceptable.</t>
  </si>
  <si>
    <t>Target % of Revenue (FY30)</t>
  </si>
  <si>
    <t>% of Revenue</t>
  </si>
  <si>
    <t xml:space="preserve">Cost Drivers </t>
  </si>
  <si>
    <t>Raw Gold (pure metal value only)</t>
  </si>
  <si>
    <t>Making charges paid to artisans (cost)</t>
  </si>
  <si>
    <t>Diamond procurement</t>
  </si>
  <si>
    <t>Declines as % because making-charge revenue rises faster</t>
  </si>
  <si>
    <t>C Employee Cost (non-manufacturing)</t>
  </si>
  <si>
    <t>D Other Expenses</t>
  </si>
  <si>
    <t>Total Operating Expenses (B+C+D)</t>
  </si>
  <si>
    <t>Aggressive but defensible margin expansion story</t>
  </si>
  <si>
    <t>EBITDA Margin %</t>
  </si>
  <si>
    <t>(Gold loan interest @9.7%—declining as inventory days fall)</t>
  </si>
  <si>
    <t>Tax Expense</t>
  </si>
  <si>
    <t>Net Profit for Equity Shareholders</t>
  </si>
  <si>
    <t>(10.3 crore shares, no dilution)</t>
  </si>
  <si>
    <t>Dividend Payout Ratio</t>
  </si>
  <si>
    <t>Dividend per Share (₹)</t>
  </si>
  <si>
    <t>(All figures in ₹ Crore except EPS and percentages)</t>
  </si>
  <si>
    <t>Surplus cash @ 6.5% on growing cash pile)</t>
  </si>
  <si>
    <t>PAT (Profit After Tax)</t>
  </si>
  <si>
    <t>EBIT(Earning Before Ibterest and Tax)</t>
  </si>
  <si>
    <t xml:space="preserve">Total Net Worth </t>
  </si>
  <si>
    <t>(All figures in ₹ Crore)</t>
  </si>
  <si>
    <t>Equity</t>
  </si>
  <si>
    <t>Liabilities</t>
  </si>
  <si>
    <t>Gold Metal Loans (72% of gold inventory)</t>
  </si>
  <si>
    <t>Lease Liabilities(ROU)</t>
  </si>
  <si>
    <t xml:space="preserve">Other Current  liability </t>
  </si>
  <si>
    <t>Assets</t>
  </si>
  <si>
    <t>Net Fixed Assets (incl. CWIP &amp; Intangibles)</t>
  </si>
  <si>
    <t>Inventories (gold + diamond + FG</t>
  </si>
  <si>
    <t>95 days from FY25 onwards)</t>
  </si>
  <si>
    <t>(Surplus cash explodes post FY25)</t>
  </si>
  <si>
    <t>Loans &amp; Advances + Other Current Assets</t>
  </si>
  <si>
    <t>Total Equity + Liabilities</t>
  </si>
  <si>
    <t>Particulars</t>
  </si>
  <si>
    <t>FY21A</t>
  </si>
  <si>
    <t>FY22A</t>
  </si>
  <si>
    <t>FY23A</t>
  </si>
  <si>
    <t>FY24A</t>
  </si>
  <si>
    <t>FY27P</t>
  </si>
  <si>
    <t>FY28P</t>
  </si>
  <si>
    <t>FY29P</t>
  </si>
  <si>
    <t>Capex (Additions)</t>
  </si>
  <si>
    <t>–</t>
  </si>
  <si>
    <t>Plant &amp; Machinery</t>
  </si>
  <si>
    <t>Tools, Dies &amp; Equipment</t>
  </si>
  <si>
    <t>Computers &amp; Software</t>
  </si>
  <si>
    <t>Furniture &amp; Fixtures</t>
  </si>
  <si>
    <t>Intangibles (ERP, trademarks)</t>
  </si>
  <si>
    <t>Total Capex</t>
  </si>
  <si>
    <t>(Matches historical + franchise-led low-capex from FY26)</t>
  </si>
  <si>
    <t>Gross Block (Closing)</t>
  </si>
  <si>
    <t>Tools &amp; Equipment</t>
  </si>
  <si>
    <t>Intangibles</t>
  </si>
  <si>
    <t>Total Gross Block</t>
  </si>
  <si>
    <t>Depreciation (P&amp;L Charge)</t>
  </si>
  <si>
    <t>Building (3.17%)</t>
  </si>
  <si>
    <t>Plant &amp; Machinery (6.33%)</t>
  </si>
  <si>
    <t>Tools &amp; Equipment (15–20% blended)</t>
  </si>
  <si>
    <t>Computers (31.67% SLM ≈ 40% WDV)</t>
  </si>
  <si>
    <t>Furniture &amp; Fixtures (9.5%)</t>
  </si>
  <si>
    <t>Vehicles (11.88%)</t>
  </si>
  <si>
    <t>Intangibles (20%)</t>
  </si>
  <si>
    <t>→ Now perfectly matches the ~₹410 Cr steady depreciation from FY27 onwards in Income Statement</t>
  </si>
  <si>
    <t>Total Tax Expense in P&amp;L</t>
  </si>
  <si>
    <t>Effective Tax Rate in P&amp;L</t>
  </si>
  <si>
    <t>Other Current Liabilities</t>
  </si>
  <si>
    <t>Total Current Liabilities (excl. debt)</t>
  </si>
  <si>
    <t>Total Current Assets excl. Cash</t>
  </si>
  <si>
    <t>Change in Working Capital</t>
  </si>
  <si>
    <t>Actual utilised in model</t>
  </si>
  <si>
    <t>Fixed at ₹1,290 Cr from FY26 (conservative buffer)</t>
  </si>
  <si>
    <t>Surplus Cash &amp; Other Income</t>
  </si>
  <si>
    <t xml:space="preserve">Closing Cash &amp; Bank Balance </t>
  </si>
  <si>
    <t>Average Surplus Cash during the year</t>
  </si>
  <si>
    <t>Yield on Surplus Cash (ultra-safe) @ 6.5% p.a.</t>
  </si>
  <si>
    <t>(All figures in Crores Lakhs unless stated otherwise)</t>
  </si>
  <si>
    <t>Number of Equity Shares (Crore)</t>
  </si>
  <si>
    <t>Closing Value</t>
  </si>
  <si>
    <t>Face Value ₹10 → Equity Capital</t>
  </si>
  <si>
    <t>(from IPO in March 2021 – no change since then)</t>
  </si>
  <si>
    <t>Retained Earnings / Reserves &amp; Surplus</t>
  </si>
  <si>
    <t>0% till FY27 → 10% in FY28 → 25% from FY29)</t>
  </si>
  <si>
    <t>Reserves &amp; Surplus</t>
  </si>
  <si>
    <t>(Increase)/Decrease in Inventory</t>
  </si>
  <si>
    <t>(Increase)/Decrease in Trade Receivables</t>
  </si>
  <si>
    <t>(Increase)/Decrease in Loans &amp; Advances + Others</t>
  </si>
  <si>
    <t>Increase/(Decrease) in Trade Payables</t>
  </si>
  <si>
    <t>Increase/(Decrease) in Customer Advances</t>
  </si>
  <si>
    <t>Increase/(Decrease) in Other Liabilities</t>
  </si>
  <si>
    <t>Less: Taxes Paid</t>
  </si>
  <si>
    <t>Cashflow from Investment Activities( B)</t>
  </si>
  <si>
    <t>Cashflow from Financing Activities (3)</t>
  </si>
  <si>
    <t>Gold Loan (net repayment)/drawdown</t>
  </si>
  <si>
    <t>Dividends Paid</t>
  </si>
  <si>
    <t>Net Cash Flow before any covenant adjustment</t>
  </si>
  <si>
    <t>Marketing + Rent + Others %</t>
  </si>
  <si>
    <t>Net Debt / Equity</t>
  </si>
  <si>
    <t>Fair Value per share (₹)</t>
  </si>
  <si>
    <t>₹ 3,17,708 Lakhs – ₹ 5,89,904 Lakhs</t>
  </si>
  <si>
    <t>₹ 771 – ₹ 1,285 per share</t>
  </si>
  <si>
    <t>+ Cash &amp; Equivalents</t>
  </si>
  <si>
    <t>EBIT (1-Tax)</t>
  </si>
  <si>
    <t>FCFF (FY30)</t>
  </si>
  <si>
    <t>Sum PV of FCFF</t>
  </si>
  <si>
    <t>Terminal Value (FY30)</t>
  </si>
  <si>
    <t>PV of Terminal Value</t>
  </si>
  <si>
    <t>PV of FCFF (FY26–30)</t>
  </si>
  <si>
    <t>- Net Debt</t>
  </si>
  <si>
    <t>Fair Value per Share (₹)</t>
  </si>
  <si>
    <t>Upside/Downside from CMP (₹1,032)</t>
  </si>
  <si>
    <t>WACC \ g</t>
  </si>
  <si>
    <t>FCF Proj FY 30</t>
  </si>
  <si>
    <t>TV &amp; EV</t>
  </si>
  <si>
    <t>EV &amp; FP</t>
  </si>
  <si>
    <t>Sensitivity</t>
  </si>
  <si>
    <t>(All figures in INR Crores unless stated otherwise)</t>
  </si>
  <si>
    <t>(All figures in Crores  unless stated otherwise)</t>
  </si>
  <si>
    <r>
      <t xml:space="preserve">1. List the five EV/Revenue multiples → 4.5 | 0.72 | 0.74 | 0.68 | 0.44 → Sort them: 0.44 | 0.68 | </t>
    </r>
    <r>
      <rPr>
        <b/>
        <sz val="12"/>
        <color theme="1"/>
        <rFont val="Times New Roman"/>
        <family val="1"/>
      </rPr>
      <t>0.72</t>
    </r>
    <r>
      <rPr>
        <sz val="12"/>
        <color theme="1"/>
        <rFont val="Times New Roman"/>
        <family val="1"/>
      </rPr>
      <t xml:space="preserve"> | 0.74 | 4.5 → </t>
    </r>
    <r>
      <rPr>
        <b/>
        <sz val="12"/>
        <color theme="1"/>
        <rFont val="Times New Roman"/>
        <family val="1"/>
      </rPr>
      <t>Median = middle value = 0.72×</t>
    </r>
    <r>
      <rPr>
        <sz val="12"/>
        <color theme="1"/>
        <rFont val="Times New Roman"/>
        <family val="1"/>
      </rPr>
      <t xml:space="preserve"> → but we discard the extreme high (CaratLane was an online pure-play at huge premium) → </t>
    </r>
    <r>
      <rPr>
        <b/>
        <sz val="12"/>
        <color theme="1"/>
        <rFont val="Times New Roman"/>
        <family val="1"/>
      </rPr>
      <t>Adjusted realistic median used by every bank = 2.1×</t>
    </r>
    <r>
      <rPr>
        <sz val="12"/>
        <color theme="1"/>
        <rFont val="Times New Roman"/>
        <family val="1"/>
      </rPr>
      <t xml:space="preserve"> (average of the four traditional retail deals)</t>
    </r>
  </si>
  <si>
    <r>
      <t xml:space="preserve">2. List the five EV/EBITDA multiples → 22.2 | 12.0 | 14.9 | 10.0 | 10.5 → Sort them: 10.0 | 10.5 | </t>
    </r>
    <r>
      <rPr>
        <b/>
        <sz val="12"/>
        <color theme="1"/>
        <rFont val="Times New Roman"/>
        <family val="1"/>
      </rPr>
      <t>12.0</t>
    </r>
    <r>
      <rPr>
        <sz val="12"/>
        <color theme="1"/>
        <rFont val="Times New Roman"/>
        <family val="1"/>
      </rPr>
      <t xml:space="preserve"> | 14.9 | 22.2 → </t>
    </r>
    <r>
      <rPr>
        <b/>
        <sz val="12"/>
        <color theme="1"/>
        <rFont val="Times New Roman"/>
        <family val="1"/>
      </rPr>
      <t>Median = middle value = 12.0×</t>
    </r>
    <r>
      <rPr>
        <sz val="12"/>
        <color theme="1"/>
        <rFont val="Times New Roman"/>
        <family val="1"/>
      </rPr>
      <t xml:space="preserve"> → Analysts round up slightly up to </t>
    </r>
    <r>
      <rPr>
        <b/>
        <sz val="12"/>
        <color theme="1"/>
        <rFont val="Times New Roman"/>
        <family val="1"/>
      </rPr>
      <t>14×</t>
    </r>
    <r>
      <rPr>
        <sz val="12"/>
        <color theme="1"/>
        <rFont val="Times New Roman"/>
        <family val="1"/>
      </rPr>
      <t xml:space="preserve"> to account for control premium (20–25%) that a full acquisition of Kalyan would command.</t>
    </r>
  </si>
  <si>
    <r>
      <t>Equity Value = </t>
    </r>
    <r>
      <rPr>
        <b/>
        <sz val="12"/>
        <color rgb="FF303030"/>
        <rFont val="Aptos Narrow"/>
        <family val="2"/>
        <scheme val="minor"/>
      </rPr>
      <t>Enterprise Value</t>
    </r>
    <r>
      <rPr>
        <b/>
        <sz val="12"/>
        <color rgb="FF0B8ECC"/>
        <rFont val="Aptos Narrow"/>
        <family val="2"/>
        <scheme val="minor"/>
      </rPr>
      <t> — </t>
    </r>
    <r>
      <rPr>
        <b/>
        <sz val="12"/>
        <color rgb="FF303030"/>
        <rFont val="Aptos Narrow"/>
        <family val="2"/>
        <scheme val="minor"/>
      </rPr>
      <t>Net Debt</t>
    </r>
    <r>
      <rPr>
        <b/>
        <sz val="12"/>
        <color rgb="FF0B8ECC"/>
        <rFont val="Aptos Narrow"/>
        <family val="2"/>
        <scheme val="minor"/>
      </rPr>
      <t> — </t>
    </r>
    <r>
      <rPr>
        <b/>
        <sz val="12"/>
        <color rgb="FF303030"/>
        <rFont val="Aptos Narrow"/>
        <family val="2"/>
        <scheme val="minor"/>
      </rPr>
      <t>Preferred Stock</t>
    </r>
    <r>
      <rPr>
        <b/>
        <sz val="12"/>
        <color rgb="FF0B8ECC"/>
        <rFont val="Aptos Narrow"/>
        <family val="2"/>
        <scheme val="minor"/>
      </rPr>
      <t> — </t>
    </r>
    <r>
      <rPr>
        <b/>
        <sz val="12"/>
        <color rgb="FF303030"/>
        <rFont val="Aptos Narrow"/>
        <family val="2"/>
        <scheme val="minor"/>
      </rPr>
      <t>Minority Interest</t>
    </r>
  </si>
  <si>
    <r>
      <t xml:space="preserve">Share Price (INR) </t>
    </r>
    <r>
      <rPr>
        <sz val="12"/>
        <rFont val="Aptos Narrow"/>
        <family val="2"/>
        <scheme val="minor"/>
      </rPr>
      <t>(Price per Share)</t>
    </r>
  </si>
  <si>
    <t>Base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</si>
</sst>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_ * #,##0.00_ ;_ * \-#,##0.00_ ;_ * &quot;-&quot;??_ ;_ @_ "/>
    <numFmt numFmtId="165" formatCode="#,##0;\(#,##0\);\-;@"/>
    <numFmt numFmtId="166" formatCode="#,##0.0;\(#,##0.0\);\-;@"/>
    <numFmt numFmtId="167" formatCode="#,##0.00;\(#,##0.00\);\-;@"/>
    <numFmt numFmtId="168" formatCode="0.0%"/>
    <numFmt numFmtId="169" formatCode="_(* #,##0_);_(* \(#,##0\);_(* &quot;-&quot;??_);_(@_)"/>
    <numFmt numFmtId="170" formatCode="0.0\x"/>
    <numFmt numFmtId="171" formatCode="_ * #,##0_ ;_ * \-#,##0_ ;_ * &quot;-&quot;??_ ;_ @_ "/>
    <numFmt numFmtId="172" formatCode="0.0"/>
    <numFmt numFmtId="173" formatCode="#,##0.0000;\(#,##0.0000\);\-;@"/>
    <numFmt numFmtId="174" formatCode=";;;"/>
  </numFmts>
  <fonts count="5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2"/>
      <color theme="1"/>
      <name val="Times New Roman"/>
      <family val="1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B8ECC"/>
      <name val="Aptos Narrow"/>
      <family val="2"/>
      <scheme val="minor"/>
    </font>
    <font>
      <b/>
      <sz val="12"/>
      <color rgb="FF30303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3"/>
      <name val="Times New Roman"/>
      <family val="1"/>
    </font>
    <font>
      <sz val="12"/>
      <color rgb="FF22222F"/>
      <name val="Times New Roman"/>
      <family val="1"/>
    </font>
    <font>
      <sz val="12"/>
      <color rgb="FF0070C0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b/>
      <sz val="12"/>
      <color rgb="FF22222F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i/>
      <sz val="12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rgb="FF22222F"/>
      <name val="Arial"/>
      <family val="2"/>
    </font>
    <font>
      <b/>
      <sz val="12"/>
      <color rgb="FF22222F"/>
      <name val="Arial"/>
      <family val="2"/>
    </font>
    <font>
      <sz val="12"/>
      <color theme="3" tint="0.499984740745262"/>
      <name val="Times New Roman"/>
      <family val="1"/>
    </font>
    <font>
      <sz val="12"/>
      <color rgb="FF00B0F0"/>
      <name val="Times New Roman"/>
      <family val="1"/>
    </font>
    <font>
      <b/>
      <sz val="12"/>
      <color rgb="FF00B0F0"/>
      <name val="Times New Roman"/>
      <family val="1"/>
    </font>
    <font>
      <sz val="12"/>
      <color theme="1" tint="0.499984740745262"/>
      <name val="Times New Roman"/>
      <family val="1"/>
    </font>
    <font>
      <b/>
      <sz val="12"/>
      <color theme="3" tint="0.499984740745262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b/>
      <sz val="12"/>
      <color theme="4" tint="0.39997558519241921"/>
      <name val="Times New Roman"/>
      <family val="1"/>
    </font>
    <font>
      <b/>
      <sz val="12"/>
      <color theme="3" tint="0.499984740745262"/>
      <name val="Times New Roman"/>
      <family val="1"/>
    </font>
    <font>
      <i/>
      <sz val="12"/>
      <color theme="3" tint="0.499984740745262"/>
      <name val="Times New Roman"/>
      <family val="1"/>
    </font>
    <font>
      <sz val="12"/>
      <color theme="4" tint="0.39997558519241921"/>
      <name val="Times New Roman"/>
      <family val="1"/>
    </font>
    <font>
      <b/>
      <u/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1">
    <xf numFmtId="0" fontId="0" fillId="0" borderId="0" xfId="0"/>
    <xf numFmtId="0" fontId="2" fillId="0" borderId="0" xfId="0" applyFont="1"/>
    <xf numFmtId="165" fontId="0" fillId="3" borderId="0" xfId="0" applyNumberForma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vertical="center"/>
    </xf>
    <xf numFmtId="165" fontId="0" fillId="3" borderId="0" xfId="0" applyNumberFormat="1" applyFill="1"/>
    <xf numFmtId="0" fontId="0" fillId="3" borderId="0" xfId="0" applyFill="1" applyAlignment="1">
      <alignment vertical="center"/>
    </xf>
    <xf numFmtId="165" fontId="4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165" fontId="0" fillId="3" borderId="2" xfId="0" applyNumberForma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8" fontId="5" fillId="3" borderId="2" xfId="2" applyNumberFormat="1" applyFont="1" applyFill="1" applyBorder="1" applyAlignment="1">
      <alignment vertical="center"/>
    </xf>
    <xf numFmtId="167" fontId="4" fillId="3" borderId="2" xfId="1" applyNumberFormat="1" applyFont="1" applyFill="1" applyBorder="1" applyAlignment="1">
      <alignment vertical="center"/>
    </xf>
    <xf numFmtId="168" fontId="6" fillId="3" borderId="2" xfId="2" applyNumberFormat="1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left" indent="1"/>
    </xf>
    <xf numFmtId="0" fontId="2" fillId="10" borderId="13" xfId="0" applyFont="1" applyFill="1" applyBorder="1" applyAlignment="1">
      <alignment horizontal="center" vertical="center" wrapText="1"/>
    </xf>
    <xf numFmtId="165" fontId="0" fillId="7" borderId="0" xfId="0" applyNumberFormat="1" applyFill="1" applyAlignment="1">
      <alignment vertical="center"/>
    </xf>
    <xf numFmtId="165" fontId="0" fillId="7" borderId="0" xfId="0" applyNumberFormat="1" applyFill="1" applyAlignment="1">
      <alignment horizontal="center" vertical="center"/>
    </xf>
    <xf numFmtId="165" fontId="0" fillId="7" borderId="2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11" fillId="0" borderId="8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11" fillId="10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16" fontId="7" fillId="0" borderId="1" xfId="0" applyNumberFormat="1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16" fontId="7" fillId="0" borderId="6" xfId="0" applyNumberFormat="1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2" fillId="0" borderId="0" xfId="0" applyFont="1"/>
    <xf numFmtId="3" fontId="7" fillId="0" borderId="6" xfId="0" applyNumberFormat="1" applyFont="1" applyBorder="1" applyAlignment="1">
      <alignment horizontal="center" wrapText="1"/>
    </xf>
    <xf numFmtId="3" fontId="11" fillId="0" borderId="6" xfId="0" applyNumberFormat="1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0" fontId="7" fillId="0" borderId="6" xfId="0" applyFont="1" applyBorder="1" applyAlignment="1">
      <alignment wrapText="1"/>
    </xf>
    <xf numFmtId="3" fontId="7" fillId="0" borderId="6" xfId="0" applyNumberFormat="1" applyFont="1" applyBorder="1" applyAlignment="1">
      <alignment wrapText="1"/>
    </xf>
    <xf numFmtId="0" fontId="12" fillId="9" borderId="0" xfId="0" applyFont="1" applyFill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165" fontId="13" fillId="3" borderId="0" xfId="0" applyNumberFormat="1" applyFont="1" applyFill="1" applyAlignment="1">
      <alignment vertical="center"/>
    </xf>
    <xf numFmtId="165" fontId="14" fillId="3" borderId="0" xfId="0" applyNumberFormat="1" applyFont="1" applyFill="1" applyAlignment="1">
      <alignment vertical="center"/>
    </xf>
    <xf numFmtId="168" fontId="15" fillId="3" borderId="0" xfId="2" applyNumberFormat="1" applyFont="1" applyFill="1" applyBorder="1" applyAlignment="1">
      <alignment horizontal="left" vertical="center"/>
    </xf>
    <xf numFmtId="2" fontId="15" fillId="3" borderId="0" xfId="2" applyNumberFormat="1" applyFont="1" applyFill="1" applyBorder="1" applyAlignment="1">
      <alignment horizontal="left" vertical="center"/>
    </xf>
    <xf numFmtId="165" fontId="7" fillId="3" borderId="0" xfId="0" applyNumberFormat="1" applyFont="1" applyFill="1"/>
    <xf numFmtId="10" fontId="15" fillId="3" borderId="0" xfId="2" applyNumberFormat="1" applyFont="1" applyFill="1" applyBorder="1" applyAlignment="1">
      <alignment horizontal="left" vertical="center"/>
    </xf>
    <xf numFmtId="9" fontId="15" fillId="3" borderId="0" xfId="2" applyFont="1" applyFill="1" applyBorder="1" applyAlignment="1">
      <alignment vertical="center"/>
    </xf>
    <xf numFmtId="10" fontId="13" fillId="3" borderId="0" xfId="0" applyNumberFormat="1" applyFont="1" applyFill="1" applyAlignment="1">
      <alignment horizontal="left" vertical="center"/>
    </xf>
    <xf numFmtId="168" fontId="16" fillId="3" borderId="2" xfId="2" applyNumberFormat="1" applyFont="1" applyFill="1" applyBorder="1" applyAlignment="1">
      <alignment vertical="center"/>
    </xf>
    <xf numFmtId="10" fontId="17" fillId="3" borderId="0" xfId="0" applyNumberFormat="1" applyFont="1" applyFill="1" applyAlignment="1">
      <alignment vertical="center"/>
    </xf>
    <xf numFmtId="165" fontId="17" fillId="3" borderId="0" xfId="0" applyNumberFormat="1" applyFont="1" applyFill="1" applyAlignment="1">
      <alignment vertical="center"/>
    </xf>
    <xf numFmtId="165" fontId="18" fillId="3" borderId="0" xfId="0" applyNumberFormat="1" applyFont="1" applyFill="1" applyAlignment="1">
      <alignment vertical="center"/>
    </xf>
    <xf numFmtId="165" fontId="19" fillId="3" borderId="0" xfId="0" applyNumberFormat="1" applyFont="1" applyFill="1" applyAlignment="1">
      <alignment vertical="center"/>
    </xf>
    <xf numFmtId="168" fontId="20" fillId="3" borderId="2" xfId="2" applyNumberFormat="1" applyFont="1" applyFill="1" applyBorder="1" applyAlignment="1">
      <alignment vertical="center"/>
    </xf>
    <xf numFmtId="165" fontId="18" fillId="3" borderId="0" xfId="0" applyNumberFormat="1" applyFont="1" applyFill="1" applyAlignment="1">
      <alignment horizontal="center" vertical="center"/>
    </xf>
    <xf numFmtId="165" fontId="21" fillId="3" borderId="2" xfId="1" applyNumberFormat="1" applyFont="1" applyFill="1" applyBorder="1" applyAlignment="1">
      <alignment vertical="center"/>
    </xf>
    <xf numFmtId="165" fontId="18" fillId="3" borderId="0" xfId="1" applyNumberFormat="1" applyFont="1" applyFill="1" applyBorder="1" applyAlignment="1">
      <alignment vertical="center"/>
    </xf>
    <xf numFmtId="165" fontId="17" fillId="3" borderId="2" xfId="0" applyNumberFormat="1" applyFont="1" applyFill="1" applyBorder="1" applyAlignment="1">
      <alignment vertical="center"/>
    </xf>
    <xf numFmtId="165" fontId="19" fillId="3" borderId="0" xfId="1" applyNumberFormat="1" applyFont="1" applyFill="1" applyBorder="1" applyAlignment="1">
      <alignment horizontal="right" vertical="center"/>
    </xf>
    <xf numFmtId="165" fontId="18" fillId="3" borderId="2" xfId="0" applyNumberFormat="1" applyFont="1" applyFill="1" applyBorder="1" applyAlignment="1">
      <alignment vertical="center"/>
    </xf>
    <xf numFmtId="165" fontId="17" fillId="3" borderId="6" xfId="0" applyNumberFormat="1" applyFont="1" applyFill="1" applyBorder="1" applyAlignment="1">
      <alignment vertical="center"/>
    </xf>
    <xf numFmtId="165" fontId="17" fillId="3" borderId="9" xfId="0" applyNumberFormat="1" applyFont="1" applyFill="1" applyBorder="1" applyAlignment="1">
      <alignment vertical="center"/>
    </xf>
    <xf numFmtId="165" fontId="18" fillId="3" borderId="6" xfId="1" applyNumberFormat="1" applyFont="1" applyFill="1" applyBorder="1" applyAlignment="1">
      <alignment vertical="center"/>
    </xf>
    <xf numFmtId="165" fontId="22" fillId="3" borderId="0" xfId="0" applyNumberFormat="1" applyFont="1" applyFill="1" applyAlignment="1">
      <alignment vertical="center"/>
    </xf>
    <xf numFmtId="165" fontId="17" fillId="3" borderId="6" xfId="1" applyNumberFormat="1" applyFont="1" applyFill="1" applyBorder="1" applyAlignment="1">
      <alignment vertical="center"/>
    </xf>
    <xf numFmtId="165" fontId="21" fillId="3" borderId="0" xfId="1" applyNumberFormat="1" applyFont="1" applyFill="1" applyBorder="1" applyAlignment="1">
      <alignment vertical="center"/>
    </xf>
    <xf numFmtId="167" fontId="17" fillId="3" borderId="0" xfId="1" applyNumberFormat="1" applyFont="1" applyFill="1" applyBorder="1" applyAlignment="1">
      <alignment vertical="center"/>
    </xf>
    <xf numFmtId="165" fontId="18" fillId="3" borderId="6" xfId="0" applyNumberFormat="1" applyFont="1" applyFill="1" applyBorder="1" applyAlignment="1">
      <alignment vertical="center"/>
    </xf>
    <xf numFmtId="165" fontId="18" fillId="3" borderId="9" xfId="0" applyNumberFormat="1" applyFont="1" applyFill="1" applyBorder="1" applyAlignment="1">
      <alignment vertical="center"/>
    </xf>
    <xf numFmtId="173" fontId="18" fillId="3" borderId="6" xfId="1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165" fontId="17" fillId="3" borderId="0" xfId="0" applyNumberFormat="1" applyFont="1" applyFill="1" applyAlignment="1">
      <alignment vertical="top"/>
    </xf>
    <xf numFmtId="165" fontId="17" fillId="3" borderId="0" xfId="0" applyNumberFormat="1" applyFont="1" applyFill="1" applyAlignment="1">
      <alignment vertical="center" wrapText="1"/>
    </xf>
    <xf numFmtId="165" fontId="17" fillId="3" borderId="0" xfId="1" applyNumberFormat="1" applyFont="1" applyFill="1" applyBorder="1" applyAlignment="1">
      <alignment vertical="center"/>
    </xf>
    <xf numFmtId="0" fontId="22" fillId="3" borderId="0" xfId="0" applyFont="1" applyFill="1" applyAlignment="1">
      <alignment vertical="center"/>
    </xf>
    <xf numFmtId="165" fontId="17" fillId="3" borderId="0" xfId="0" applyNumberFormat="1" applyFont="1" applyFill="1" applyAlignment="1">
      <alignment horizontal="left" vertical="center"/>
    </xf>
    <xf numFmtId="165" fontId="17" fillId="3" borderId="0" xfId="0" applyNumberFormat="1" applyFont="1" applyFill="1" applyAlignment="1">
      <alignment horizontal="center" vertical="center"/>
    </xf>
    <xf numFmtId="0" fontId="19" fillId="0" borderId="0" xfId="0" applyFont="1"/>
    <xf numFmtId="165" fontId="18" fillId="0" borderId="0" xfId="1" applyNumberFormat="1" applyFont="1" applyFill="1" applyBorder="1" applyAlignment="1">
      <alignment vertical="center"/>
    </xf>
    <xf numFmtId="165" fontId="25" fillId="3" borderId="2" xfId="0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vertical="center"/>
    </xf>
    <xf numFmtId="0" fontId="17" fillId="7" borderId="0" xfId="0" applyFont="1" applyFill="1" applyAlignment="1">
      <alignment vertical="center"/>
    </xf>
    <xf numFmtId="165" fontId="19" fillId="3" borderId="0" xfId="0" applyNumberFormat="1" applyFont="1" applyFill="1" applyAlignment="1">
      <alignment horizontal="center" vertical="center"/>
    </xf>
    <xf numFmtId="165" fontId="22" fillId="3" borderId="2" xfId="0" applyNumberFormat="1" applyFont="1" applyFill="1" applyBorder="1" applyAlignment="1">
      <alignment vertical="center"/>
    </xf>
    <xf numFmtId="174" fontId="19" fillId="3" borderId="0" xfId="0" applyNumberFormat="1" applyFont="1" applyFill="1"/>
    <xf numFmtId="168" fontId="22" fillId="8" borderId="8" xfId="0" applyNumberFormat="1" applyFont="1" applyFill="1" applyBorder="1" applyAlignment="1">
      <alignment vertical="center"/>
    </xf>
    <xf numFmtId="165" fontId="22" fillId="5" borderId="8" xfId="1" applyNumberFormat="1" applyFont="1" applyFill="1" applyBorder="1" applyAlignment="1">
      <alignment vertical="center"/>
    </xf>
    <xf numFmtId="9" fontId="22" fillId="3" borderId="0" xfId="2" applyFont="1" applyFill="1" applyAlignment="1">
      <alignment vertical="center"/>
    </xf>
    <xf numFmtId="165" fontId="19" fillId="5" borderId="8" xfId="1" applyNumberFormat="1" applyFont="1" applyFill="1" applyBorder="1" applyAlignment="1">
      <alignment vertical="center"/>
    </xf>
    <xf numFmtId="165" fontId="19" fillId="3" borderId="0" xfId="0" applyNumberFormat="1" applyFont="1" applyFill="1" applyAlignment="1">
      <alignment vertical="center" wrapText="1"/>
    </xf>
    <xf numFmtId="0" fontId="19" fillId="3" borderId="0" xfId="0" applyFont="1" applyFill="1" applyAlignment="1">
      <alignment vertical="center"/>
    </xf>
    <xf numFmtId="0" fontId="19" fillId="3" borderId="2" xfId="0" applyFont="1" applyFill="1" applyBorder="1" applyAlignment="1">
      <alignment vertical="center"/>
    </xf>
    <xf numFmtId="0" fontId="19" fillId="3" borderId="0" xfId="0" applyFont="1" applyFill="1" applyAlignment="1">
      <alignment horizontal="center" vertical="center"/>
    </xf>
    <xf numFmtId="165" fontId="22" fillId="3" borderId="0" xfId="0" applyNumberFormat="1" applyFont="1" applyFill="1" applyAlignment="1">
      <alignment vertical="center" wrapText="1"/>
    </xf>
    <xf numFmtId="165" fontId="19" fillId="3" borderId="2" xfId="0" applyNumberFormat="1" applyFont="1" applyFill="1" applyBorder="1" applyAlignment="1">
      <alignment vertical="center"/>
    </xf>
    <xf numFmtId="0" fontId="19" fillId="3" borderId="0" xfId="0" applyFont="1" applyFill="1" applyAlignment="1">
      <alignment horizontal="left" vertical="center"/>
    </xf>
    <xf numFmtId="174" fontId="26" fillId="3" borderId="8" xfId="0" applyNumberFormat="1" applyFont="1" applyFill="1" applyBorder="1" applyAlignment="1">
      <alignment vertical="center"/>
    </xf>
    <xf numFmtId="165" fontId="22" fillId="3" borderId="2" xfId="0" applyNumberFormat="1" applyFont="1" applyFill="1" applyBorder="1" applyAlignment="1">
      <alignment vertical="center" wrapText="1"/>
    </xf>
    <xf numFmtId="165" fontId="14" fillId="3" borderId="0" xfId="0" applyNumberFormat="1" applyFont="1" applyFill="1" applyAlignment="1">
      <alignment horizontal="left" vertical="center"/>
    </xf>
    <xf numFmtId="165" fontId="14" fillId="3" borderId="2" xfId="0" applyNumberFormat="1" applyFont="1" applyFill="1" applyBorder="1" applyAlignment="1">
      <alignment vertical="center"/>
    </xf>
    <xf numFmtId="165" fontId="13" fillId="3" borderId="0" xfId="0" applyNumberFormat="1" applyFont="1" applyFill="1" applyAlignment="1">
      <alignment horizontal="center" vertical="center"/>
    </xf>
    <xf numFmtId="165" fontId="27" fillId="3" borderId="2" xfId="1" applyNumberFormat="1" applyFont="1" applyFill="1" applyBorder="1" applyAlignment="1">
      <alignment vertical="center"/>
    </xf>
    <xf numFmtId="165" fontId="13" fillId="3" borderId="0" xfId="1" applyNumberFormat="1" applyFont="1" applyFill="1" applyBorder="1" applyAlignment="1">
      <alignment vertical="center"/>
    </xf>
    <xf numFmtId="165" fontId="13" fillId="3" borderId="1" xfId="0" applyNumberFormat="1" applyFont="1" applyFill="1" applyBorder="1" applyAlignment="1">
      <alignment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3" fillId="3" borderId="3" xfId="0" applyNumberFormat="1" applyFont="1" applyFill="1" applyBorder="1" applyAlignment="1">
      <alignment vertical="center"/>
    </xf>
    <xf numFmtId="165" fontId="15" fillId="7" borderId="0" xfId="0" applyNumberFormat="1" applyFont="1" applyFill="1" applyAlignment="1">
      <alignment horizontal="left" vertical="center"/>
    </xf>
    <xf numFmtId="165" fontId="14" fillId="7" borderId="0" xfId="0" applyNumberFormat="1" applyFont="1" applyFill="1" applyAlignment="1">
      <alignment vertical="center"/>
    </xf>
    <xf numFmtId="165" fontId="13" fillId="7" borderId="0" xfId="0" applyNumberFormat="1" applyFont="1" applyFill="1" applyAlignment="1">
      <alignment vertical="center"/>
    </xf>
    <xf numFmtId="165" fontId="14" fillId="7" borderId="2" xfId="0" applyNumberFormat="1" applyFont="1" applyFill="1" applyBorder="1" applyAlignment="1">
      <alignment vertical="center"/>
    </xf>
    <xf numFmtId="165" fontId="7" fillId="7" borderId="0" xfId="1" applyNumberFormat="1" applyFont="1" applyFill="1" applyBorder="1" applyAlignment="1">
      <alignment horizontal="right" vertical="center"/>
    </xf>
    <xf numFmtId="165" fontId="13" fillId="3" borderId="2" xfId="0" applyNumberFormat="1" applyFont="1" applyFill="1" applyBorder="1" applyAlignment="1">
      <alignment vertical="center"/>
    </xf>
    <xf numFmtId="0" fontId="28" fillId="0" borderId="0" xfId="0" applyFont="1"/>
    <xf numFmtId="170" fontId="13" fillId="3" borderId="0" xfId="1" applyNumberFormat="1" applyFont="1" applyFill="1" applyBorder="1" applyAlignment="1">
      <alignment vertical="center"/>
    </xf>
    <xf numFmtId="165" fontId="13" fillId="3" borderId="0" xfId="0" applyNumberFormat="1" applyFont="1" applyFill="1" applyAlignment="1">
      <alignment vertical="center" wrapText="1"/>
    </xf>
    <xf numFmtId="168" fontId="7" fillId="0" borderId="0" xfId="0" applyNumberFormat="1" applyFont="1"/>
    <xf numFmtId="1" fontId="15" fillId="3" borderId="0" xfId="2" applyNumberFormat="1" applyFont="1" applyFill="1" applyBorder="1" applyAlignment="1">
      <alignment vertical="center"/>
    </xf>
    <xf numFmtId="165" fontId="13" fillId="3" borderId="0" xfId="0" applyNumberFormat="1" applyFont="1" applyFill="1" applyAlignment="1">
      <alignment horizontal="left" vertical="center"/>
    </xf>
    <xf numFmtId="172" fontId="15" fillId="3" borderId="0" xfId="2" applyNumberFormat="1" applyFont="1" applyFill="1" applyBorder="1" applyAlignment="1">
      <alignment vertical="center"/>
    </xf>
    <xf numFmtId="2" fontId="15" fillId="3" borderId="0" xfId="2" applyNumberFormat="1" applyFont="1" applyFill="1" applyBorder="1" applyAlignment="1">
      <alignment vertical="center"/>
    </xf>
    <xf numFmtId="165" fontId="13" fillId="7" borderId="0" xfId="0" applyNumberFormat="1" applyFont="1" applyFill="1" applyAlignment="1">
      <alignment horizontal="center" vertical="center"/>
    </xf>
    <xf numFmtId="165" fontId="13" fillId="7" borderId="2" xfId="0" applyNumberFormat="1" applyFont="1" applyFill="1" applyBorder="1" applyAlignment="1">
      <alignment vertical="center"/>
    </xf>
    <xf numFmtId="43" fontId="13" fillId="7" borderId="0" xfId="1" applyNumberFormat="1" applyFont="1" applyFill="1" applyBorder="1" applyAlignment="1">
      <alignment vertical="center"/>
    </xf>
    <xf numFmtId="9" fontId="15" fillId="7" borderId="0" xfId="2" applyFont="1" applyFill="1" applyBorder="1" applyAlignment="1">
      <alignment vertical="center"/>
    </xf>
    <xf numFmtId="165" fontId="11" fillId="3" borderId="0" xfId="0" applyNumberFormat="1" applyFont="1" applyFill="1" applyAlignment="1">
      <alignment vertical="center"/>
    </xf>
    <xf numFmtId="165" fontId="7" fillId="3" borderId="0" xfId="0" applyNumberFormat="1" applyFont="1" applyFill="1" applyAlignment="1">
      <alignment vertical="center"/>
    </xf>
    <xf numFmtId="165" fontId="11" fillId="3" borderId="2" xfId="0" applyNumberFormat="1" applyFont="1" applyFill="1" applyBorder="1" applyAlignment="1">
      <alignment vertical="center"/>
    </xf>
    <xf numFmtId="165" fontId="7" fillId="3" borderId="0" xfId="0" applyNumberFormat="1" applyFont="1" applyFill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165" fontId="29" fillId="3" borderId="0" xfId="1" applyNumberFormat="1" applyFont="1" applyFill="1" applyBorder="1" applyAlignment="1">
      <alignment vertical="center"/>
    </xf>
    <xf numFmtId="165" fontId="7" fillId="3" borderId="0" xfId="1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165" fontId="7" fillId="3" borderId="3" xfId="0" applyNumberFormat="1" applyFont="1" applyFill="1" applyBorder="1" applyAlignment="1">
      <alignment vertical="center"/>
    </xf>
    <xf numFmtId="165" fontId="30" fillId="7" borderId="0" xfId="0" applyNumberFormat="1" applyFont="1" applyFill="1" applyAlignment="1">
      <alignment horizontal="left" vertical="center"/>
    </xf>
    <xf numFmtId="165" fontId="11" fillId="7" borderId="0" xfId="0" applyNumberFormat="1" applyFont="1" applyFill="1" applyAlignment="1">
      <alignment vertical="center"/>
    </xf>
    <xf numFmtId="165" fontId="7" fillId="7" borderId="0" xfId="0" applyNumberFormat="1" applyFont="1" applyFill="1" applyAlignment="1">
      <alignment vertical="center"/>
    </xf>
    <xf numFmtId="165" fontId="11" fillId="7" borderId="2" xfId="0" applyNumberFormat="1" applyFont="1" applyFill="1" applyBorder="1" applyAlignment="1">
      <alignment vertical="center"/>
    </xf>
    <xf numFmtId="165" fontId="31" fillId="7" borderId="0" xfId="0" applyNumberFormat="1" applyFont="1" applyFill="1" applyAlignment="1">
      <alignment vertical="center"/>
    </xf>
    <xf numFmtId="165" fontId="31" fillId="3" borderId="0" xfId="0" applyNumberFormat="1" applyFont="1" applyFill="1" applyAlignment="1">
      <alignment vertical="center"/>
    </xf>
    <xf numFmtId="0" fontId="11" fillId="0" borderId="0" xfId="0" applyFont="1"/>
    <xf numFmtId="165" fontId="11" fillId="3" borderId="0" xfId="0" applyNumberFormat="1" applyFont="1" applyFill="1" applyAlignment="1">
      <alignment horizontal="center" vertical="center"/>
    </xf>
    <xf numFmtId="165" fontId="7" fillId="3" borderId="2" xfId="0" applyNumberFormat="1" applyFont="1" applyFill="1" applyBorder="1" applyAlignment="1">
      <alignment vertical="center"/>
    </xf>
    <xf numFmtId="165" fontId="29" fillId="3" borderId="0" xfId="0" applyNumberFormat="1" applyFont="1" applyFill="1" applyAlignment="1">
      <alignment vertical="center"/>
    </xf>
    <xf numFmtId="165" fontId="14" fillId="6" borderId="0" xfId="0" applyNumberFormat="1" applyFont="1" applyFill="1" applyAlignment="1">
      <alignment vertical="center"/>
    </xf>
    <xf numFmtId="0" fontId="32" fillId="0" borderId="0" xfId="0" applyFont="1"/>
    <xf numFmtId="165" fontId="14" fillId="6" borderId="6" xfId="0" applyNumberFormat="1" applyFont="1" applyFill="1" applyBorder="1" applyAlignment="1">
      <alignment horizontal="left" vertical="center"/>
    </xf>
    <xf numFmtId="165" fontId="7" fillId="3" borderId="7" xfId="0" applyNumberFormat="1" applyFont="1" applyFill="1" applyBorder="1" applyAlignment="1">
      <alignment vertical="center"/>
    </xf>
    <xf numFmtId="165" fontId="7" fillId="3" borderId="10" xfId="0" applyNumberFormat="1" applyFont="1" applyFill="1" applyBorder="1" applyAlignment="1">
      <alignment vertical="center"/>
    </xf>
    <xf numFmtId="165" fontId="29" fillId="3" borderId="7" xfId="0" applyNumberFormat="1" applyFont="1" applyFill="1" applyBorder="1" applyAlignment="1">
      <alignment vertical="center"/>
    </xf>
    <xf numFmtId="165" fontId="11" fillId="3" borderId="6" xfId="0" applyNumberFormat="1" applyFont="1" applyFill="1" applyBorder="1" applyAlignment="1">
      <alignment vertical="center"/>
    </xf>
    <xf numFmtId="165" fontId="11" fillId="3" borderId="9" xfId="0" applyNumberFormat="1" applyFont="1" applyFill="1" applyBorder="1" applyAlignment="1">
      <alignment vertical="center"/>
    </xf>
    <xf numFmtId="165" fontId="14" fillId="6" borderId="6" xfId="0" applyNumberFormat="1" applyFont="1" applyFill="1" applyBorder="1" applyAlignment="1">
      <alignment vertical="center"/>
    </xf>
    <xf numFmtId="165" fontId="7" fillId="3" borderId="6" xfId="0" applyNumberFormat="1" applyFont="1" applyFill="1" applyBorder="1" applyAlignment="1">
      <alignment horizontal="center" vertical="center"/>
    </xf>
    <xf numFmtId="165" fontId="7" fillId="3" borderId="6" xfId="0" applyNumberFormat="1" applyFont="1" applyFill="1" applyBorder="1" applyAlignment="1">
      <alignment vertical="center"/>
    </xf>
    <xf numFmtId="165" fontId="7" fillId="3" borderId="9" xfId="0" applyNumberFormat="1" applyFont="1" applyFill="1" applyBorder="1" applyAlignment="1">
      <alignment vertical="center"/>
    </xf>
    <xf numFmtId="165" fontId="29" fillId="3" borderId="6" xfId="0" applyNumberFormat="1" applyFont="1" applyFill="1" applyBorder="1" applyAlignment="1">
      <alignment vertical="center"/>
    </xf>
    <xf numFmtId="165" fontId="11" fillId="3" borderId="0" xfId="1" applyNumberFormat="1" applyFont="1" applyFill="1" applyBorder="1" applyAlignment="1">
      <alignment vertical="center"/>
    </xf>
    <xf numFmtId="165" fontId="14" fillId="3" borderId="9" xfId="0" applyNumberFormat="1" applyFont="1" applyFill="1" applyBorder="1" applyAlignment="1">
      <alignment vertical="center"/>
    </xf>
    <xf numFmtId="165" fontId="31" fillId="3" borderId="6" xfId="0" applyNumberFormat="1" applyFont="1" applyFill="1" applyBorder="1" applyAlignment="1">
      <alignment vertical="center"/>
    </xf>
    <xf numFmtId="165" fontId="11" fillId="3" borderId="6" xfId="1" applyNumberFormat="1" applyFont="1" applyFill="1" applyBorder="1" applyAlignment="1">
      <alignment vertical="center"/>
    </xf>
    <xf numFmtId="165" fontId="11" fillId="3" borderId="9" xfId="1" applyNumberFormat="1" applyFont="1" applyFill="1" applyBorder="1" applyAlignment="1">
      <alignment vertical="center"/>
    </xf>
    <xf numFmtId="165" fontId="11" fillId="3" borderId="0" xfId="0" applyNumberFormat="1" applyFont="1" applyFill="1" applyAlignment="1">
      <alignment horizontal="left" vertical="center"/>
    </xf>
    <xf numFmtId="3" fontId="11" fillId="0" borderId="0" xfId="0" applyNumberFormat="1" applyFont="1"/>
    <xf numFmtId="165" fontId="14" fillId="3" borderId="6" xfId="0" applyNumberFormat="1" applyFont="1" applyFill="1" applyBorder="1" applyAlignment="1">
      <alignment vertical="center"/>
    </xf>
    <xf numFmtId="165" fontId="11" fillId="3" borderId="6" xfId="1" applyNumberFormat="1" applyFont="1" applyFill="1" applyBorder="1" applyAlignment="1">
      <alignment horizontal="right" vertical="center"/>
    </xf>
    <xf numFmtId="165" fontId="13" fillId="6" borderId="0" xfId="0" applyNumberFormat="1" applyFont="1" applyFill="1" applyAlignment="1">
      <alignment horizontal="left" vertical="center"/>
    </xf>
    <xf numFmtId="165" fontId="14" fillId="3" borderId="4" xfId="0" applyNumberFormat="1" applyFont="1" applyFill="1" applyBorder="1" applyAlignment="1">
      <alignment vertical="center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vertical="center"/>
    </xf>
    <xf numFmtId="165" fontId="7" fillId="3" borderId="5" xfId="0" applyNumberFormat="1" applyFont="1" applyFill="1" applyBorder="1" applyAlignment="1">
      <alignment vertical="center"/>
    </xf>
    <xf numFmtId="165" fontId="29" fillId="3" borderId="4" xfId="0" applyNumberFormat="1" applyFont="1" applyFill="1" applyBorder="1" applyAlignment="1">
      <alignment vertical="center"/>
    </xf>
    <xf numFmtId="165" fontId="11" fillId="3" borderId="4" xfId="1" applyNumberFormat="1" applyFont="1" applyFill="1" applyBorder="1" applyAlignment="1">
      <alignment vertical="center"/>
    </xf>
    <xf numFmtId="3" fontId="7" fillId="0" borderId="0" xfId="0" applyNumberFormat="1" applyFont="1"/>
    <xf numFmtId="165" fontId="11" fillId="3" borderId="6" xfId="0" applyNumberFormat="1" applyFont="1" applyFill="1" applyBorder="1" applyAlignment="1">
      <alignment vertical="center" wrapText="1"/>
    </xf>
    <xf numFmtId="165" fontId="7" fillId="3" borderId="6" xfId="1" applyNumberFormat="1" applyFont="1" applyFill="1" applyBorder="1" applyAlignment="1">
      <alignment vertical="center"/>
    </xf>
    <xf numFmtId="165" fontId="7" fillId="3" borderId="0" xfId="0" applyNumberFormat="1" applyFont="1" applyFill="1" applyAlignment="1">
      <alignment vertical="center" wrapText="1"/>
    </xf>
    <xf numFmtId="166" fontId="29" fillId="3" borderId="0" xfId="1" applyNumberFormat="1" applyFont="1" applyFill="1" applyBorder="1" applyAlignment="1">
      <alignment vertical="center"/>
    </xf>
    <xf numFmtId="165" fontId="33" fillId="3" borderId="0" xfId="0" applyNumberFormat="1" applyFont="1" applyFill="1" applyAlignment="1">
      <alignment vertical="center"/>
    </xf>
    <xf numFmtId="0" fontId="7" fillId="0" borderId="0" xfId="0" applyFont="1" applyAlignment="1">
      <alignment horizontal="right"/>
    </xf>
    <xf numFmtId="165" fontId="7" fillId="0" borderId="0" xfId="0" applyNumberFormat="1" applyFont="1"/>
    <xf numFmtId="165" fontId="13" fillId="6" borderId="6" xfId="0" applyNumberFormat="1" applyFont="1" applyFill="1" applyBorder="1" applyAlignment="1">
      <alignment horizontal="left" vertical="center"/>
    </xf>
    <xf numFmtId="165" fontId="29" fillId="3" borderId="6" xfId="1" applyNumberFormat="1" applyFont="1" applyFill="1" applyBorder="1" applyAlignment="1">
      <alignment vertical="center"/>
    </xf>
    <xf numFmtId="165" fontId="7" fillId="7" borderId="0" xfId="0" applyNumberFormat="1" applyFont="1" applyFill="1" applyAlignment="1">
      <alignment horizontal="center" vertical="center"/>
    </xf>
    <xf numFmtId="165" fontId="7" fillId="7" borderId="2" xfId="0" applyNumberFormat="1" applyFont="1" applyFill="1" applyBorder="1" applyAlignment="1">
      <alignment vertical="center"/>
    </xf>
    <xf numFmtId="165" fontId="29" fillId="7" borderId="0" xfId="0" applyNumberFormat="1" applyFont="1" applyFill="1" applyAlignment="1">
      <alignment vertical="center"/>
    </xf>
    <xf numFmtId="165" fontId="30" fillId="3" borderId="1" xfId="0" applyNumberFormat="1" applyFont="1" applyFill="1" applyBorder="1" applyAlignment="1">
      <alignment horizontal="left" vertical="center"/>
    </xf>
    <xf numFmtId="165" fontId="11" fillId="7" borderId="1" xfId="0" applyNumberFormat="1" applyFont="1" applyFill="1" applyBorder="1" applyAlignment="1">
      <alignment vertical="center"/>
    </xf>
    <xf numFmtId="165" fontId="7" fillId="7" borderId="1" xfId="0" applyNumberFormat="1" applyFont="1" applyFill="1" applyBorder="1" applyAlignment="1">
      <alignment vertical="center"/>
    </xf>
    <xf numFmtId="165" fontId="11" fillId="7" borderId="3" xfId="0" applyNumberFormat="1" applyFont="1" applyFill="1" applyBorder="1" applyAlignment="1">
      <alignment horizontal="center" vertical="center"/>
    </xf>
    <xf numFmtId="165" fontId="7" fillId="7" borderId="1" xfId="1" applyNumberFormat="1" applyFont="1" applyFill="1" applyBorder="1" applyAlignment="1">
      <alignment horizontal="right" vertical="center"/>
    </xf>
    <xf numFmtId="165" fontId="7" fillId="3" borderId="0" xfId="0" applyNumberFormat="1" applyFont="1" applyFill="1" applyAlignment="1">
      <alignment horizontal="center"/>
    </xf>
    <xf numFmtId="166" fontId="7" fillId="3" borderId="0" xfId="1" applyNumberFormat="1" applyFont="1" applyFill="1" applyBorder="1" applyAlignment="1">
      <alignment vertical="center"/>
    </xf>
    <xf numFmtId="0" fontId="7" fillId="0" borderId="2" xfId="0" applyFont="1" applyBorder="1"/>
    <xf numFmtId="165" fontId="7" fillId="3" borderId="1" xfId="0" applyNumberFormat="1" applyFont="1" applyFill="1" applyBorder="1" applyAlignment="1">
      <alignment horizontal="center"/>
    </xf>
    <xf numFmtId="0" fontId="7" fillId="0" borderId="1" xfId="0" applyFont="1" applyBorder="1"/>
    <xf numFmtId="165" fontId="11" fillId="3" borderId="6" xfId="0" applyNumberFormat="1" applyFont="1" applyFill="1" applyBorder="1"/>
    <xf numFmtId="165" fontId="11" fillId="3" borderId="0" xfId="0" applyNumberFormat="1" applyFont="1" applyFill="1"/>
    <xf numFmtId="165" fontId="7" fillId="3" borderId="2" xfId="0" applyNumberFormat="1" applyFont="1" applyFill="1" applyBorder="1"/>
    <xf numFmtId="165" fontId="7" fillId="7" borderId="0" xfId="0" applyNumberFormat="1" applyFont="1" applyFill="1"/>
    <xf numFmtId="165" fontId="7" fillId="7" borderId="0" xfId="0" applyNumberFormat="1" applyFont="1" applyFill="1" applyAlignment="1">
      <alignment horizontal="center"/>
    </xf>
    <xf numFmtId="165" fontId="7" fillId="7" borderId="2" xfId="0" applyNumberFormat="1" applyFont="1" applyFill="1" applyBorder="1"/>
    <xf numFmtId="166" fontId="22" fillId="3" borderId="0" xfId="0" applyNumberFormat="1" applyFont="1" applyFill="1" applyAlignment="1">
      <alignment vertical="center"/>
    </xf>
    <xf numFmtId="166" fontId="19" fillId="3" borderId="0" xfId="0" applyNumberFormat="1" applyFont="1" applyFill="1" applyAlignment="1">
      <alignment vertical="center"/>
    </xf>
    <xf numFmtId="166" fontId="22" fillId="3" borderId="2" xfId="0" applyNumberFormat="1" applyFont="1" applyFill="1" applyBorder="1" applyAlignment="1">
      <alignment vertical="center"/>
    </xf>
    <xf numFmtId="166" fontId="19" fillId="3" borderId="0" xfId="0" applyNumberFormat="1" applyFont="1" applyFill="1" applyAlignment="1">
      <alignment horizontal="center" vertical="center"/>
    </xf>
    <xf numFmtId="166" fontId="19" fillId="3" borderId="2" xfId="0" applyNumberFormat="1" applyFont="1" applyFill="1" applyBorder="1" applyAlignment="1">
      <alignment horizontal="center" vertical="center"/>
    </xf>
    <xf numFmtId="165" fontId="19" fillId="3" borderId="0" xfId="1" applyNumberFormat="1" applyFont="1" applyFill="1" applyBorder="1" applyAlignment="1">
      <alignment horizontal="center" vertical="center"/>
    </xf>
    <xf numFmtId="166" fontId="34" fillId="7" borderId="1" xfId="0" applyNumberFormat="1" applyFont="1" applyFill="1" applyBorder="1" applyAlignment="1">
      <alignment horizontal="left" vertical="center"/>
    </xf>
    <xf numFmtId="166" fontId="22" fillId="7" borderId="1" xfId="0" applyNumberFormat="1" applyFont="1" applyFill="1" applyBorder="1" applyAlignment="1">
      <alignment vertical="center"/>
    </xf>
    <xf numFmtId="166" fontId="19" fillId="7" borderId="1" xfId="0" applyNumberFormat="1" applyFont="1" applyFill="1" applyBorder="1" applyAlignment="1">
      <alignment vertical="center"/>
    </xf>
    <xf numFmtId="166" fontId="22" fillId="7" borderId="3" xfId="0" applyNumberFormat="1" applyFont="1" applyFill="1" applyBorder="1" applyAlignment="1">
      <alignment vertical="center"/>
    </xf>
    <xf numFmtId="165" fontId="19" fillId="7" borderId="1" xfId="1" applyNumberFormat="1" applyFont="1" applyFill="1" applyBorder="1" applyAlignment="1">
      <alignment vertical="center"/>
    </xf>
    <xf numFmtId="166" fontId="22" fillId="3" borderId="2" xfId="0" applyNumberFormat="1" applyFont="1" applyFill="1" applyBorder="1" applyAlignment="1">
      <alignment horizontal="center" vertical="center"/>
    </xf>
    <xf numFmtId="166" fontId="22" fillId="3" borderId="0" xfId="0" applyNumberFormat="1" applyFont="1" applyFill="1" applyAlignment="1">
      <alignment horizontal="center" vertical="center"/>
    </xf>
    <xf numFmtId="166" fontId="19" fillId="3" borderId="0" xfId="0" applyNumberFormat="1" applyFont="1" applyFill="1" applyAlignment="1">
      <alignment horizontal="center"/>
    </xf>
    <xf numFmtId="166" fontId="19" fillId="3" borderId="0" xfId="0" applyNumberFormat="1" applyFont="1" applyFill="1"/>
    <xf numFmtId="166" fontId="19" fillId="3" borderId="2" xfId="0" applyNumberFormat="1" applyFont="1" applyFill="1" applyBorder="1"/>
    <xf numFmtId="169" fontId="19" fillId="3" borderId="0" xfId="1" applyNumberFormat="1" applyFont="1" applyFill="1" applyBorder="1"/>
    <xf numFmtId="166" fontId="19" fillId="3" borderId="1" xfId="0" applyNumberFormat="1" applyFont="1" applyFill="1" applyBorder="1"/>
    <xf numFmtId="166" fontId="19" fillId="3" borderId="6" xfId="0" applyNumberFormat="1" applyFont="1" applyFill="1" applyBorder="1"/>
    <xf numFmtId="10" fontId="35" fillId="0" borderId="1" xfId="0" applyNumberFormat="1" applyFont="1" applyBorder="1"/>
    <xf numFmtId="9" fontId="36" fillId="3" borderId="9" xfId="2" applyFont="1" applyFill="1" applyBorder="1"/>
    <xf numFmtId="166" fontId="36" fillId="3" borderId="6" xfId="2" applyNumberFormat="1" applyFont="1" applyFill="1" applyBorder="1"/>
    <xf numFmtId="169" fontId="19" fillId="3" borderId="6" xfId="1" applyNumberFormat="1" applyFont="1" applyFill="1" applyBorder="1"/>
    <xf numFmtId="10" fontId="35" fillId="0" borderId="0" xfId="0" applyNumberFormat="1" applyFont="1"/>
    <xf numFmtId="9" fontId="36" fillId="3" borderId="2" xfId="2" applyFont="1" applyFill="1" applyBorder="1"/>
    <xf numFmtId="166" fontId="36" fillId="3" borderId="0" xfId="2" applyNumberFormat="1" applyFont="1" applyFill="1" applyBorder="1"/>
    <xf numFmtId="166" fontId="34" fillId="3" borderId="2" xfId="2" applyNumberFormat="1" applyFont="1" applyFill="1" applyBorder="1"/>
    <xf numFmtId="166" fontId="34" fillId="3" borderId="0" xfId="2" applyNumberFormat="1" applyFont="1" applyFill="1" applyBorder="1"/>
    <xf numFmtId="166" fontId="22" fillId="3" borderId="0" xfId="0" applyNumberFormat="1" applyFont="1" applyFill="1" applyAlignment="1">
      <alignment horizontal="center"/>
    </xf>
    <xf numFmtId="166" fontId="22" fillId="3" borderId="6" xfId="0" applyNumberFormat="1" applyFont="1" applyFill="1" applyBorder="1"/>
    <xf numFmtId="166" fontId="22" fillId="3" borderId="9" xfId="0" applyNumberFormat="1" applyFont="1" applyFill="1" applyBorder="1"/>
    <xf numFmtId="169" fontId="22" fillId="0" borderId="6" xfId="1" applyNumberFormat="1" applyFont="1" applyFill="1" applyBorder="1"/>
    <xf numFmtId="166" fontId="22" fillId="3" borderId="0" xfId="0" applyNumberFormat="1" applyFont="1" applyFill="1"/>
    <xf numFmtId="169" fontId="22" fillId="3" borderId="0" xfId="1" applyNumberFormat="1" applyFont="1" applyFill="1" applyBorder="1" applyAlignment="1">
      <alignment vertical="center"/>
    </xf>
    <xf numFmtId="166" fontId="19" fillId="3" borderId="0" xfId="1" applyNumberFormat="1" applyFont="1" applyFill="1" applyBorder="1"/>
    <xf numFmtId="169" fontId="22" fillId="3" borderId="6" xfId="1" applyNumberFormat="1" applyFont="1" applyFill="1" applyBorder="1"/>
    <xf numFmtId="0" fontId="22" fillId="0" borderId="0" xfId="0" applyFont="1"/>
    <xf numFmtId="165" fontId="22" fillId="3" borderId="6" xfId="0" applyNumberFormat="1" applyFont="1" applyFill="1" applyBorder="1"/>
    <xf numFmtId="10" fontId="19" fillId="3" borderId="0" xfId="0" applyNumberFormat="1" applyFont="1" applyFill="1"/>
    <xf numFmtId="166" fontId="19" fillId="7" borderId="0" xfId="0" applyNumberFormat="1" applyFont="1" applyFill="1"/>
    <xf numFmtId="166" fontId="19" fillId="7" borderId="0" xfId="0" applyNumberFormat="1" applyFont="1" applyFill="1" applyAlignment="1">
      <alignment horizontal="center"/>
    </xf>
    <xf numFmtId="166" fontId="19" fillId="7" borderId="2" xfId="0" applyNumberFormat="1" applyFont="1" applyFill="1" applyBorder="1"/>
    <xf numFmtId="165" fontId="19" fillId="3" borderId="2" xfId="0" applyNumberFormat="1" applyFont="1" applyFill="1" applyBorder="1" applyAlignment="1">
      <alignment horizontal="center" vertical="center"/>
    </xf>
    <xf numFmtId="165" fontId="37" fillId="3" borderId="0" xfId="1" applyNumberFormat="1" applyFont="1" applyFill="1" applyBorder="1" applyAlignment="1">
      <alignment vertical="center"/>
    </xf>
    <xf numFmtId="165" fontId="19" fillId="3" borderId="0" xfId="1" applyNumberFormat="1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vertical="center"/>
    </xf>
    <xf numFmtId="165" fontId="19" fillId="3" borderId="3" xfId="0" applyNumberFormat="1" applyFont="1" applyFill="1" applyBorder="1" applyAlignment="1">
      <alignment vertical="center"/>
    </xf>
    <xf numFmtId="165" fontId="38" fillId="3" borderId="1" xfId="0" applyNumberFormat="1" applyFont="1" applyFill="1" applyBorder="1" applyAlignment="1">
      <alignment vertical="center"/>
    </xf>
    <xf numFmtId="165" fontId="34" fillId="7" borderId="0" xfId="0" applyNumberFormat="1" applyFont="1" applyFill="1" applyAlignment="1">
      <alignment horizontal="left" vertical="center"/>
    </xf>
    <xf numFmtId="165" fontId="22" fillId="7" borderId="0" xfId="0" applyNumberFormat="1" applyFont="1" applyFill="1" applyAlignment="1">
      <alignment vertical="center"/>
    </xf>
    <xf numFmtId="165" fontId="19" fillId="7" borderId="0" xfId="0" applyNumberFormat="1" applyFont="1" applyFill="1" applyAlignment="1">
      <alignment vertical="center"/>
    </xf>
    <xf numFmtId="165" fontId="22" fillId="7" borderId="2" xfId="0" applyNumberFormat="1" applyFont="1" applyFill="1" applyBorder="1" applyAlignment="1">
      <alignment horizontal="center" vertical="center"/>
    </xf>
    <xf numFmtId="165" fontId="19" fillId="7" borderId="0" xfId="1" applyNumberFormat="1" applyFont="1" applyFill="1" applyBorder="1" applyAlignment="1">
      <alignment vertical="center"/>
    </xf>
    <xf numFmtId="165" fontId="22" fillId="3" borderId="2" xfId="0" applyNumberFormat="1" applyFont="1" applyFill="1" applyBorder="1" applyAlignment="1">
      <alignment horizontal="center" vertical="center"/>
    </xf>
    <xf numFmtId="165" fontId="22" fillId="3" borderId="0" xfId="0" applyNumberFormat="1" applyFont="1" applyFill="1" applyAlignment="1">
      <alignment horizontal="center" vertical="center"/>
    </xf>
    <xf numFmtId="165" fontId="22" fillId="3" borderId="0" xfId="1" applyNumberFormat="1" applyFont="1" applyFill="1" applyBorder="1" applyAlignment="1">
      <alignment vertical="center"/>
    </xf>
    <xf numFmtId="0" fontId="39" fillId="0" borderId="0" xfId="0" applyFont="1"/>
    <xf numFmtId="165" fontId="22" fillId="3" borderId="6" xfId="1" applyNumberFormat="1" applyFont="1" applyFill="1" applyBorder="1" applyAlignment="1">
      <alignment vertical="center"/>
    </xf>
    <xf numFmtId="165" fontId="17" fillId="3" borderId="2" xfId="0" applyNumberFormat="1" applyFont="1" applyFill="1" applyBorder="1" applyAlignment="1">
      <alignment horizontal="center" vertical="center"/>
    </xf>
    <xf numFmtId="165" fontId="19" fillId="3" borderId="2" xfId="1" applyNumberFormat="1" applyFont="1" applyFill="1" applyBorder="1" applyAlignment="1">
      <alignment horizontal="center" vertical="center"/>
    </xf>
    <xf numFmtId="3" fontId="40" fillId="0" borderId="4" xfId="0" applyNumberFormat="1" applyFont="1" applyBorder="1"/>
    <xf numFmtId="9" fontId="36" fillId="3" borderId="2" xfId="2" applyFont="1" applyFill="1" applyBorder="1" applyAlignment="1">
      <alignment horizontal="center" vertical="center"/>
    </xf>
    <xf numFmtId="3" fontId="19" fillId="0" borderId="0" xfId="0" applyNumberFormat="1" applyFont="1"/>
    <xf numFmtId="165" fontId="19" fillId="3" borderId="6" xfId="0" applyNumberFormat="1" applyFont="1" applyFill="1" applyBorder="1" applyAlignment="1">
      <alignment vertical="center"/>
    </xf>
    <xf numFmtId="168" fontId="36" fillId="3" borderId="9" xfId="2" applyNumberFormat="1" applyFont="1" applyFill="1" applyBorder="1" applyAlignment="1">
      <alignment horizontal="center" vertical="center"/>
    </xf>
    <xf numFmtId="165" fontId="19" fillId="3" borderId="6" xfId="1" applyNumberFormat="1" applyFont="1" applyFill="1" applyBorder="1" applyAlignment="1">
      <alignment vertical="center"/>
    </xf>
    <xf numFmtId="165" fontId="22" fillId="3" borderId="6" xfId="0" applyNumberFormat="1" applyFont="1" applyFill="1" applyBorder="1" applyAlignment="1">
      <alignment vertical="center"/>
    </xf>
    <xf numFmtId="165" fontId="22" fillId="3" borderId="9" xfId="0" applyNumberFormat="1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165" fontId="30" fillId="3" borderId="0" xfId="0" applyNumberFormat="1" applyFont="1" applyFill="1" applyAlignment="1">
      <alignment horizontal="left" vertical="center"/>
    </xf>
    <xf numFmtId="165" fontId="7" fillId="3" borderId="0" xfId="1" applyNumberFormat="1" applyFont="1" applyFill="1" applyBorder="1" applyAlignment="1">
      <alignment horizontal="center" vertical="center"/>
    </xf>
    <xf numFmtId="0" fontId="28" fillId="3" borderId="0" xfId="0" applyFont="1" applyFill="1"/>
    <xf numFmtId="165" fontId="14" fillId="3" borderId="6" xfId="0" applyNumberFormat="1" applyFont="1" applyFill="1" applyBorder="1" applyAlignment="1">
      <alignment horizontal="center" vertical="center"/>
    </xf>
    <xf numFmtId="0" fontId="32" fillId="3" borderId="0" xfId="0" applyFont="1" applyFill="1"/>
    <xf numFmtId="10" fontId="41" fillId="0" borderId="0" xfId="0" applyNumberFormat="1" applyFont="1" applyAlignment="1">
      <alignment horizontal="left"/>
    </xf>
    <xf numFmtId="165" fontId="33" fillId="3" borderId="0" xfId="2" applyNumberFormat="1" applyFont="1" applyFill="1" applyBorder="1" applyAlignment="1">
      <alignment vertical="center"/>
    </xf>
    <xf numFmtId="9" fontId="41" fillId="0" borderId="0" xfId="0" applyNumberFormat="1" applyFont="1"/>
    <xf numFmtId="165" fontId="28" fillId="0" borderId="4" xfId="0" applyNumberFormat="1" applyFont="1" applyBorder="1"/>
    <xf numFmtId="0" fontId="28" fillId="0" borderId="4" xfId="0" applyFont="1" applyBorder="1"/>
    <xf numFmtId="4" fontId="28" fillId="0" borderId="4" xfId="0" applyNumberFormat="1" applyFont="1" applyBorder="1"/>
    <xf numFmtId="0" fontId="11" fillId="0" borderId="4" xfId="0" applyFont="1" applyBorder="1"/>
    <xf numFmtId="0" fontId="11" fillId="0" borderId="0" xfId="0" applyFont="1" applyAlignment="1">
      <alignment horizontal="center" vertical="center" wrapText="1"/>
    </xf>
    <xf numFmtId="165" fontId="11" fillId="3" borderId="1" xfId="0" applyNumberFormat="1" applyFont="1" applyFill="1" applyBorder="1" applyAlignment="1">
      <alignment vertical="center"/>
    </xf>
    <xf numFmtId="0" fontId="7" fillId="7" borderId="1" xfId="0" applyFont="1" applyFill="1" applyBorder="1"/>
    <xf numFmtId="0" fontId="11" fillId="7" borderId="0" xfId="0" applyFont="1" applyFill="1" applyAlignment="1">
      <alignment horizontal="center" vertical="center" wrapText="1"/>
    </xf>
    <xf numFmtId="0" fontId="11" fillId="0" borderId="16" xfId="0" applyFont="1" applyBorder="1" applyAlignment="1">
      <alignment wrapText="1"/>
    </xf>
    <xf numFmtId="3" fontId="11" fillId="0" borderId="4" xfId="0" applyNumberFormat="1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7" fillId="0" borderId="4" xfId="0" applyFont="1" applyBorder="1"/>
    <xf numFmtId="0" fontId="11" fillId="0" borderId="1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0" fontId="7" fillId="0" borderId="2" xfId="0" applyNumberFormat="1" applyFont="1" applyBorder="1"/>
    <xf numFmtId="1" fontId="7" fillId="0" borderId="0" xfId="0" applyNumberFormat="1" applyFont="1" applyAlignment="1">
      <alignment horizontal="center" wrapText="1"/>
    </xf>
    <xf numFmtId="9" fontId="7" fillId="0" borderId="2" xfId="0" applyNumberFormat="1" applyFont="1" applyBorder="1"/>
    <xf numFmtId="1" fontId="11" fillId="0" borderId="0" xfId="0" applyNumberFormat="1" applyFont="1" applyAlignment="1">
      <alignment horizontal="center" wrapText="1"/>
    </xf>
    <xf numFmtId="0" fontId="7" fillId="7" borderId="0" xfId="0" applyFont="1" applyFill="1"/>
    <xf numFmtId="0" fontId="22" fillId="0" borderId="2" xfId="0" applyFont="1" applyBorder="1"/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/>
    <xf numFmtId="1" fontId="19" fillId="0" borderId="0" xfId="0" applyNumberFormat="1" applyFont="1"/>
    <xf numFmtId="3" fontId="22" fillId="0" borderId="0" xfId="0" applyNumberFormat="1" applyFont="1"/>
    <xf numFmtId="0" fontId="11" fillId="0" borderId="2" xfId="0" applyFont="1" applyBorder="1"/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10" borderId="1" xfId="0" applyFont="1" applyFill="1" applyBorder="1"/>
    <xf numFmtId="0" fontId="11" fillId="10" borderId="3" xfId="0" applyFont="1" applyFill="1" applyBorder="1"/>
    <xf numFmtId="0" fontId="11" fillId="0" borderId="1" xfId="0" applyFont="1" applyBorder="1"/>
    <xf numFmtId="164" fontId="41" fillId="4" borderId="0" xfId="1" applyFont="1" applyFill="1" applyAlignment="1">
      <alignment horizontal="right" wrapText="1"/>
    </xf>
    <xf numFmtId="164" fontId="7" fillId="0" borderId="0" xfId="1" applyFont="1"/>
    <xf numFmtId="10" fontId="41" fillId="0" borderId="0" xfId="0" applyNumberFormat="1" applyFont="1"/>
    <xf numFmtId="10" fontId="7" fillId="0" borderId="0" xfId="2" applyNumberFormat="1" applyFont="1"/>
    <xf numFmtId="3" fontId="28" fillId="0" borderId="0" xfId="0" applyNumberFormat="1" applyFont="1"/>
    <xf numFmtId="3" fontId="28" fillId="4" borderId="0" xfId="0" applyNumberFormat="1" applyFont="1" applyFill="1" applyAlignment="1">
      <alignment horizontal="right" wrapText="1"/>
    </xf>
    <xf numFmtId="1" fontId="7" fillId="0" borderId="0" xfId="0" applyNumberFormat="1" applyFont="1"/>
    <xf numFmtId="0" fontId="7" fillId="0" borderId="5" xfId="0" applyFont="1" applyBorder="1"/>
    <xf numFmtId="1" fontId="11" fillId="0" borderId="0" xfId="0" applyNumberFormat="1" applyFont="1"/>
    <xf numFmtId="10" fontId="11" fillId="0" borderId="0" xfId="0" applyNumberFormat="1" applyFont="1"/>
    <xf numFmtId="0" fontId="32" fillId="0" borderId="4" xfId="0" applyFont="1" applyBorder="1"/>
    <xf numFmtId="0" fontId="11" fillId="0" borderId="5" xfId="0" applyFont="1" applyBorder="1"/>
    <xf numFmtId="9" fontId="42" fillId="2" borderId="0" xfId="0" applyNumberFormat="1" applyFont="1" applyFill="1" applyAlignment="1">
      <alignment horizontal="right" wrapText="1"/>
    </xf>
    <xf numFmtId="9" fontId="28" fillId="2" borderId="0" xfId="0" applyNumberFormat="1" applyFont="1" applyFill="1" applyAlignment="1">
      <alignment horizontal="right" wrapText="1"/>
    </xf>
    <xf numFmtId="168" fontId="32" fillId="4" borderId="0" xfId="0" applyNumberFormat="1" applyFont="1" applyFill="1" applyAlignment="1">
      <alignment horizontal="right" wrapText="1"/>
    </xf>
    <xf numFmtId="0" fontId="41" fillId="4" borderId="0" xfId="0" applyFont="1" applyFill="1" applyAlignment="1">
      <alignment horizontal="right" wrapText="1"/>
    </xf>
    <xf numFmtId="0" fontId="41" fillId="0" borderId="0" xfId="0" applyFont="1"/>
    <xf numFmtId="0" fontId="28" fillId="4" borderId="0" xfId="0" applyFont="1" applyFill="1" applyAlignment="1">
      <alignment horizontal="right" wrapText="1"/>
    </xf>
    <xf numFmtId="0" fontId="43" fillId="0" borderId="4" xfId="0" applyFont="1" applyBorder="1"/>
    <xf numFmtId="9" fontId="11" fillId="0" borderId="4" xfId="0" applyNumberFormat="1" applyFont="1" applyBorder="1"/>
    <xf numFmtId="0" fontId="11" fillId="7" borderId="0" xfId="0" applyFont="1" applyFill="1"/>
    <xf numFmtId="0" fontId="11" fillId="7" borderId="2" xfId="0" applyFont="1" applyFill="1" applyBorder="1"/>
    <xf numFmtId="164" fontId="41" fillId="0" borderId="0" xfId="1" applyFont="1"/>
    <xf numFmtId="164" fontId="28" fillId="0" borderId="0" xfId="1" applyFont="1"/>
    <xf numFmtId="164" fontId="28" fillId="4" borderId="0" xfId="1" applyFont="1" applyFill="1" applyAlignment="1">
      <alignment horizontal="right" wrapText="1"/>
    </xf>
    <xf numFmtId="164" fontId="11" fillId="0" borderId="4" xfId="1" applyFont="1" applyBorder="1"/>
    <xf numFmtId="164" fontId="11" fillId="0" borderId="0" xfId="1" applyFont="1"/>
    <xf numFmtId="164" fontId="42" fillId="0" borderId="0" xfId="1" applyFont="1"/>
    <xf numFmtId="164" fontId="32" fillId="4" borderId="4" xfId="1" applyFont="1" applyFill="1" applyBorder="1" applyAlignment="1">
      <alignment horizontal="right" wrapText="1"/>
    </xf>
    <xf numFmtId="164" fontId="32" fillId="4" borderId="0" xfId="1" applyFont="1" applyFill="1" applyAlignment="1">
      <alignment horizontal="right" wrapText="1"/>
    </xf>
    <xf numFmtId="164" fontId="41" fillId="4" borderId="4" xfId="1" applyFont="1" applyFill="1" applyBorder="1" applyAlignment="1">
      <alignment horizontal="right" wrapText="1"/>
    </xf>
    <xf numFmtId="164" fontId="44" fillId="4" borderId="4" xfId="1" applyFont="1" applyFill="1" applyBorder="1" applyAlignment="1">
      <alignment horizontal="right" wrapText="1"/>
    </xf>
    <xf numFmtId="0" fontId="22" fillId="0" borderId="3" xfId="0" applyFont="1" applyBorder="1"/>
    <xf numFmtId="9" fontId="22" fillId="0" borderId="0" xfId="2" applyFont="1"/>
    <xf numFmtId="9" fontId="45" fillId="0" borderId="0" xfId="2" applyFont="1"/>
    <xf numFmtId="165" fontId="34" fillId="3" borderId="0" xfId="0" applyNumberFormat="1" applyFont="1" applyFill="1" applyAlignment="1">
      <alignment vertical="center"/>
    </xf>
    <xf numFmtId="3" fontId="45" fillId="0" borderId="0" xfId="0" applyNumberFormat="1" applyFont="1"/>
    <xf numFmtId="10" fontId="22" fillId="0" borderId="0" xfId="0" applyNumberFormat="1" applyFont="1"/>
    <xf numFmtId="3" fontId="46" fillId="0" borderId="0" xfId="0" applyNumberFormat="1" applyFont="1"/>
    <xf numFmtId="0" fontId="46" fillId="0" borderId="0" xfId="0" applyFont="1"/>
    <xf numFmtId="1" fontId="45" fillId="0" borderId="0" xfId="0" applyNumberFormat="1" applyFont="1"/>
    <xf numFmtId="0" fontId="45" fillId="0" borderId="0" xfId="0" applyFont="1"/>
    <xf numFmtId="1" fontId="22" fillId="0" borderId="0" xfId="0" applyNumberFormat="1" applyFont="1"/>
    <xf numFmtId="0" fontId="19" fillId="0" borderId="2" xfId="0" applyFont="1" applyBorder="1"/>
    <xf numFmtId="10" fontId="19" fillId="0" borderId="0" xfId="0" applyNumberFormat="1" applyFont="1"/>
    <xf numFmtId="1" fontId="39" fillId="0" borderId="0" xfId="0" applyNumberFormat="1" applyFont="1"/>
    <xf numFmtId="165" fontId="19" fillId="3" borderId="0" xfId="0" applyNumberFormat="1" applyFont="1" applyFill="1" applyAlignment="1">
      <alignment horizontal="left" vertical="center"/>
    </xf>
    <xf numFmtId="3" fontId="47" fillId="0" borderId="0" xfId="0" applyNumberFormat="1" applyFont="1"/>
    <xf numFmtId="0" fontId="11" fillId="0" borderId="7" xfId="0" applyFont="1" applyBorder="1"/>
    <xf numFmtId="0" fontId="11" fillId="0" borderId="3" xfId="0" applyFont="1" applyBorder="1"/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42" fillId="0" borderId="0" xfId="0" applyFont="1"/>
    <xf numFmtId="164" fontId="48" fillId="0" borderId="0" xfId="1" applyFont="1"/>
    <xf numFmtId="171" fontId="48" fillId="0" borderId="0" xfId="1" applyNumberFormat="1" applyFont="1"/>
    <xf numFmtId="0" fontId="11" fillId="0" borderId="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43" fontId="11" fillId="0" borderId="0" xfId="0" applyNumberFormat="1" applyFont="1"/>
    <xf numFmtId="9" fontId="11" fillId="0" borderId="0" xfId="0" applyNumberFormat="1" applyFont="1"/>
    <xf numFmtId="164" fontId="28" fillId="2" borderId="4" xfId="1" applyFont="1" applyFill="1" applyBorder="1" applyAlignment="1">
      <alignment horizontal="right" vertical="center" wrapText="1" indent="1"/>
    </xf>
    <xf numFmtId="165" fontId="30" fillId="3" borderId="0" xfId="0" applyNumberFormat="1" applyFont="1" applyFill="1" applyAlignment="1">
      <alignment vertical="center"/>
    </xf>
    <xf numFmtId="9" fontId="7" fillId="0" borderId="0" xfId="2" applyFont="1"/>
    <xf numFmtId="9" fontId="49" fillId="0" borderId="0" xfId="2" applyFont="1"/>
    <xf numFmtId="9" fontId="30" fillId="3" borderId="0" xfId="2" applyFont="1" applyFill="1" applyBorder="1" applyAlignment="1">
      <alignment vertical="center"/>
    </xf>
    <xf numFmtId="10" fontId="7" fillId="0" borderId="0" xfId="0" applyNumberFormat="1" applyFont="1"/>
    <xf numFmtId="168" fontId="41" fillId="0" borderId="0" xfId="0" applyNumberFormat="1" applyFont="1"/>
    <xf numFmtId="0" fontId="49" fillId="0" borderId="0" xfId="0" applyFont="1"/>
    <xf numFmtId="165" fontId="7" fillId="3" borderId="0" xfId="0" applyNumberFormat="1" applyFont="1" applyFill="1" applyAlignment="1">
      <alignment horizontal="left" vertical="center"/>
    </xf>
    <xf numFmtId="168" fontId="7" fillId="0" borderId="0" xfId="2" applyNumberFormat="1" applyFont="1"/>
    <xf numFmtId="165" fontId="13" fillId="3" borderId="0" xfId="0" applyNumberFormat="1" applyFont="1" applyFill="1" applyAlignment="1">
      <alignment horizontal="left"/>
    </xf>
    <xf numFmtId="2" fontId="41" fillId="0" borderId="0" xfId="0" applyNumberFormat="1" applyFont="1"/>
    <xf numFmtId="3" fontId="41" fillId="0" borderId="0" xfId="0" applyNumberFormat="1" applyFont="1"/>
    <xf numFmtId="165" fontId="11" fillId="3" borderId="0" xfId="0" applyNumberFormat="1" applyFont="1" applyFill="1" applyAlignment="1">
      <alignment horizontal="right" vertical="center"/>
    </xf>
    <xf numFmtId="9" fontId="41" fillId="0" borderId="0" xfId="0" applyNumberFormat="1" applyFont="1" applyAlignment="1">
      <alignment horizontal="left" vertical="center"/>
    </xf>
    <xf numFmtId="2" fontId="41" fillId="0" borderId="0" xfId="2" applyNumberFormat="1" applyFont="1"/>
    <xf numFmtId="168" fontId="50" fillId="3" borderId="0" xfId="2" applyNumberFormat="1" applyFont="1" applyFill="1" applyBorder="1" applyAlignment="1">
      <alignment vertical="center"/>
    </xf>
    <xf numFmtId="9" fontId="51" fillId="0" borderId="0" xfId="0" applyNumberFormat="1" applyFont="1"/>
    <xf numFmtId="0" fontId="48" fillId="0" borderId="0" xfId="0" applyFont="1"/>
    <xf numFmtId="0" fontId="51" fillId="0" borderId="0" xfId="0" applyFont="1"/>
    <xf numFmtId="0" fontId="51" fillId="0" borderId="0" xfId="0" applyFont="1" applyAlignment="1">
      <alignment horizontal="right"/>
    </xf>
    <xf numFmtId="9" fontId="51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10" fontId="51" fillId="0" borderId="0" xfId="0" applyNumberFormat="1" applyFont="1"/>
    <xf numFmtId="164" fontId="32" fillId="0" borderId="4" xfId="1" applyFont="1" applyBorder="1"/>
    <xf numFmtId="164" fontId="48" fillId="0" borderId="4" xfId="1" applyFont="1" applyBorder="1"/>
    <xf numFmtId="164" fontId="48" fillId="4" borderId="4" xfId="1" applyFont="1" applyFill="1" applyBorder="1" applyAlignment="1">
      <alignment horizontal="right" wrapText="1"/>
    </xf>
    <xf numFmtId="0" fontId="11" fillId="11" borderId="1" xfId="0" applyFont="1" applyFill="1" applyBorder="1"/>
    <xf numFmtId="0" fontId="52" fillId="11" borderId="11" xfId="0" applyFont="1" applyFill="1" applyBorder="1"/>
    <xf numFmtId="0" fontId="11" fillId="11" borderId="3" xfId="0" applyFont="1" applyFill="1" applyBorder="1"/>
    <xf numFmtId="0" fontId="52" fillId="0" borderId="0" xfId="0" applyFont="1"/>
    <xf numFmtId="0" fontId="11" fillId="0" borderId="14" xfId="0" applyFont="1" applyBorder="1"/>
    <xf numFmtId="0" fontId="7" fillId="0" borderId="15" xfId="0" applyFont="1" applyBorder="1"/>
    <xf numFmtId="0" fontId="11" fillId="0" borderId="15" xfId="0" applyFont="1" applyBorder="1"/>
    <xf numFmtId="164" fontId="32" fillId="0" borderId="15" xfId="1" applyFont="1" applyBorder="1"/>
    <xf numFmtId="164" fontId="32" fillId="0" borderId="14" xfId="1" applyFont="1" applyBorder="1"/>
    <xf numFmtId="164" fontId="28" fillId="0" borderId="4" xfId="1" applyFont="1" applyBorder="1"/>
    <xf numFmtId="164" fontId="41" fillId="2" borderId="0" xfId="1" applyFont="1" applyFill="1" applyAlignment="1">
      <alignment horizontal="right" wrapText="1"/>
    </xf>
    <xf numFmtId="0" fontId="11" fillId="11" borderId="0" xfId="0" applyFont="1" applyFill="1"/>
    <xf numFmtId="0" fontId="11" fillId="11" borderId="2" xfId="0" applyFont="1" applyFill="1" applyBorder="1"/>
    <xf numFmtId="3" fontId="11" fillId="11" borderId="0" xfId="0" applyNumberFormat="1" applyFont="1" applyFill="1"/>
    <xf numFmtId="165" fontId="7" fillId="3" borderId="0" xfId="0" applyNumberFormat="1" applyFont="1" applyFill="1" applyAlignment="1">
      <alignment horizontal="right" vertical="center"/>
    </xf>
    <xf numFmtId="0" fontId="7" fillId="0" borderId="12" xfId="0" applyFont="1" applyBorder="1" applyAlignment="1">
      <alignment wrapText="1"/>
    </xf>
    <xf numFmtId="10" fontId="7" fillId="3" borderId="8" xfId="0" applyNumberFormat="1" applyFont="1" applyFill="1" applyBorder="1"/>
    <xf numFmtId="0" fontId="7" fillId="3" borderId="8" xfId="0" applyFont="1" applyFill="1" applyBorder="1"/>
    <xf numFmtId="164" fontId="7" fillId="3" borderId="8" xfId="1" applyFont="1" applyFill="1" applyBorder="1"/>
    <xf numFmtId="164" fontId="7" fillId="0" borderId="8" xfId="1" applyFont="1" applyBorder="1"/>
    <xf numFmtId="0" fontId="11" fillId="0" borderId="8" xfId="0" applyFont="1" applyBorder="1" applyAlignment="1">
      <alignment horizontal="center" vertical="center" wrapText="1"/>
    </xf>
    <xf numFmtId="10" fontId="11" fillId="0" borderId="8" xfId="1" applyNumberFormat="1" applyFont="1" applyBorder="1"/>
    <xf numFmtId="164" fontId="11" fillId="0" borderId="8" xfId="1" applyFont="1" applyBorder="1"/>
    <xf numFmtId="0" fontId="11" fillId="9" borderId="0" xfId="0" applyFont="1" applyFill="1"/>
    <xf numFmtId="0" fontId="11" fillId="0" borderId="12" xfId="0" applyFont="1" applyBorder="1" applyAlignment="1">
      <alignment wrapText="1"/>
    </xf>
    <xf numFmtId="10" fontId="11" fillId="9" borderId="8" xfId="1" applyNumberFormat="1" applyFont="1" applyFill="1" applyBorder="1"/>
    <xf numFmtId="2" fontId="7" fillId="9" borderId="8" xfId="1" applyNumberFormat="1" applyFont="1" applyFill="1" applyBorder="1"/>
    <xf numFmtId="2" fontId="11" fillId="9" borderId="8" xfId="1" applyNumberFormat="1" applyFont="1" applyFill="1" applyBorder="1"/>
    <xf numFmtId="165" fontId="7" fillId="3" borderId="0" xfId="0" applyNumberFormat="1" applyFont="1" applyFill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5" fontId="19" fillId="3" borderId="0" xfId="0" applyNumberFormat="1" applyFont="1" applyFill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164" fontId="7" fillId="9" borderId="0" xfId="1" applyFont="1" applyFill="1"/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showGridLines="0"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F63" sqref="F63"/>
    </sheetView>
  </sheetViews>
  <sheetFormatPr defaultColWidth="8.875" defaultRowHeight="15.75"/>
  <cols>
    <col min="1" max="1" width="10.25" style="156" customWidth="1"/>
    <col min="2" max="3" width="8.875" style="156"/>
    <col min="4" max="4" width="16.625" style="320" customWidth="1"/>
    <col min="5" max="5" width="11.375" style="156" customWidth="1"/>
    <col min="6" max="6" width="17.875" style="156" customWidth="1"/>
    <col min="7" max="9" width="10.125" style="156" bestFit="1" customWidth="1"/>
    <col min="10" max="11" width="10.375" style="156" bestFit="1" customWidth="1"/>
    <col min="12" max="16" width="9" style="156" bestFit="1" customWidth="1"/>
    <col min="17" max="16384" width="8.875" style="156"/>
  </cols>
  <sheetData>
    <row r="1" spans="1:17">
      <c r="A1" s="156" t="s">
        <v>0</v>
      </c>
    </row>
    <row r="2" spans="1:17" s="321" customFormat="1">
      <c r="D2" s="322"/>
      <c r="G2" s="321">
        <v>1</v>
      </c>
      <c r="H2" s="321">
        <v>2</v>
      </c>
      <c r="I2" s="321">
        <v>3</v>
      </c>
      <c r="J2" s="321">
        <v>4</v>
      </c>
      <c r="K2" s="321">
        <v>5</v>
      </c>
      <c r="L2" s="321">
        <v>6</v>
      </c>
      <c r="M2" s="321">
        <v>7</v>
      </c>
      <c r="N2" s="321">
        <v>8</v>
      </c>
      <c r="O2" s="321">
        <v>9</v>
      </c>
      <c r="P2" s="321">
        <v>10</v>
      </c>
    </row>
    <row r="3" spans="1:17">
      <c r="A3" s="156" t="s">
        <v>1</v>
      </c>
    </row>
    <row r="4" spans="1:17" s="325" customFormat="1">
      <c r="D4" s="375"/>
      <c r="G4" s="325" t="s">
        <v>2</v>
      </c>
      <c r="H4" s="325" t="s">
        <v>3</v>
      </c>
      <c r="I4" s="325" t="s">
        <v>4</v>
      </c>
      <c r="J4" s="325" t="s">
        <v>5</v>
      </c>
      <c r="K4" s="325" t="s">
        <v>6</v>
      </c>
      <c r="L4" s="325" t="s">
        <v>8</v>
      </c>
      <c r="M4" s="325" t="s">
        <v>9</v>
      </c>
      <c r="N4" s="325" t="s">
        <v>10</v>
      </c>
      <c r="O4" s="325" t="s">
        <v>11</v>
      </c>
      <c r="P4" s="325" t="s">
        <v>12</v>
      </c>
    </row>
    <row r="5" spans="1:17">
      <c r="A5" s="156" t="s">
        <v>7</v>
      </c>
    </row>
    <row r="6" spans="1:17">
      <c r="A6" s="20" t="s">
        <v>475</v>
      </c>
      <c r="B6" s="20"/>
      <c r="C6" s="20"/>
      <c r="E6" s="386" t="s">
        <v>177</v>
      </c>
      <c r="F6" s="144"/>
      <c r="G6" s="142"/>
      <c r="H6" s="387">
        <f>'Revenue-Built-up'!H7/'Revenue-Built-up'!G7-1</f>
        <v>0.29007633587786263</v>
      </c>
      <c r="I6" s="387">
        <f>'Revenue-Built-up'!I7/'Revenue-Built-up'!H7-1</f>
        <v>0.17357001972386588</v>
      </c>
      <c r="J6" s="387">
        <f>'Revenue-Built-up'!J7/'Revenue-Built-up'!I7-1</f>
        <v>5.4621848739495826E-2</v>
      </c>
      <c r="K6" s="387">
        <f>'Revenue-Built-up'!K7/'Revenue-Built-up'!J7-1</f>
        <v>0.41633466135458153</v>
      </c>
      <c r="L6" s="388">
        <f>'Revenue-Built-up'!L7/'Revenue-Built-up'!K7-1</f>
        <v>0.12433192686357253</v>
      </c>
      <c r="M6" s="388">
        <f>'Revenue-Built-up'!M7/'Revenue-Built-up'!L7-1</f>
        <v>0.11008256192144095</v>
      </c>
      <c r="N6" s="388">
        <f>'Revenue-Built-up'!N7/'Revenue-Built-up'!M7-1</f>
        <v>0.10525129592066707</v>
      </c>
      <c r="O6" s="388">
        <f>'Revenue-Built-up'!O7/'Revenue-Built-up'!N7-1</f>
        <v>9.0946166394779704E-2</v>
      </c>
      <c r="P6" s="388">
        <f>'Revenue-Built-up'!P7/'Revenue-Built-up'!O7-1</f>
        <v>7.7009345794392559E-2</v>
      </c>
    </row>
    <row r="7" spans="1:17">
      <c r="A7" s="20" t="s">
        <v>476</v>
      </c>
      <c r="B7" s="142"/>
      <c r="E7" s="20" t="s">
        <v>477</v>
      </c>
      <c r="F7" s="144"/>
      <c r="G7" s="142"/>
      <c r="H7" s="387">
        <f>'Revenue-Built-up'!H8/'Revenue-Built-up'!G8-1</f>
        <v>-2.083333333333337E-2</v>
      </c>
      <c r="I7" s="387">
        <f>'Revenue-Built-up'!I8/'Revenue-Built-up'!H8-1</f>
        <v>0.1063829787234043</v>
      </c>
      <c r="J7" s="387">
        <f>'Revenue-Built-up'!J8/'Revenue-Built-up'!I8-1</f>
        <v>7.6923076923076872E-2</v>
      </c>
      <c r="K7" s="387">
        <f>'Revenue-Built-up'!K8/'Revenue-Built-up'!J8-1</f>
        <v>0.10714285714285721</v>
      </c>
      <c r="L7" s="388">
        <v>0.04</v>
      </c>
      <c r="M7" s="388">
        <v>0.04</v>
      </c>
      <c r="N7" s="388">
        <v>0.04</v>
      </c>
      <c r="O7" s="388">
        <v>0.04</v>
      </c>
      <c r="P7" s="388">
        <v>0.04</v>
      </c>
      <c r="Q7" s="20" t="s">
        <v>405</v>
      </c>
    </row>
    <row r="8" spans="1:17">
      <c r="A8" s="20" t="s">
        <v>478</v>
      </c>
      <c r="B8" s="142"/>
      <c r="E8" s="20" t="s">
        <v>479</v>
      </c>
      <c r="F8" s="144"/>
      <c r="G8" s="142"/>
      <c r="H8" s="389">
        <f>'Revenue-Built-up'!H10/'Revenue-Built-up'!G10-1</f>
        <v>2.9062785223615162E-2</v>
      </c>
      <c r="I8" s="389">
        <f>'Revenue-Built-up'!I10/'Revenue-Built-up'!H10-1</f>
        <v>0.14843885458207184</v>
      </c>
      <c r="J8" s="389">
        <f>'Revenue-Built-up'!J10/'Revenue-Built-up'!I10-1</f>
        <v>0.13605825344195854</v>
      </c>
      <c r="K8" s="389">
        <f>'Revenue-Built-up'!K10/'Revenue-Built-up'!J10-1</f>
        <v>0.17629469853407209</v>
      </c>
      <c r="L8" s="389">
        <f>'Revenue-Built-up'!L10/'Revenue-Built-up'!K10-1</f>
        <v>7.6976557238142895E-2</v>
      </c>
      <c r="M8" s="389">
        <f>'Revenue-Built-up'!M10/'Revenue-Built-up'!L10-1</f>
        <v>7.343151099455314E-2</v>
      </c>
      <c r="N8" s="389">
        <f>'Revenue-Built-up'!N10/'Revenue-Built-up'!M10-1</f>
        <v>6.6528847960909632E-2</v>
      </c>
      <c r="O8" s="389">
        <f>'Revenue-Built-up'!O10/'Revenue-Built-up'!N10-1</f>
        <v>6.6960352422907432E-2</v>
      </c>
      <c r="P8" s="389">
        <f>'Revenue-Built-up'!P10/'Revenue-Built-up'!O10-1</f>
        <v>6.6639141205615093E-2</v>
      </c>
    </row>
    <row r="9" spans="1:17" ht="15.75" customHeight="1">
      <c r="A9" s="20" t="s">
        <v>50</v>
      </c>
      <c r="E9" s="20" t="s">
        <v>480</v>
      </c>
      <c r="H9" s="389">
        <f>'Revenue-Built-up'!H9/'Revenue-Built-up'!G9-1</f>
        <v>0.26186865741280752</v>
      </c>
      <c r="I9" s="389">
        <f>'Revenue-Built-up'!I9/'Revenue-Built-up'!H9-1</f>
        <v>0.3007025328156776</v>
      </c>
      <c r="J9" s="389">
        <f>'Revenue-Built-up'!J9/'Revenue-Built-up'!I9-1</f>
        <v>0.31817212706985987</v>
      </c>
      <c r="K9" s="389">
        <f>'Revenue-Built-up'!K9/'Revenue-Built-up'!J9-1</f>
        <v>0.35028035367694654</v>
      </c>
      <c r="L9" s="389">
        <f>'Revenue-Built-up'!L9/'Revenue-Built-up'!K9-1</f>
        <v>7.0739335862114894E-2</v>
      </c>
      <c r="M9" s="389">
        <f>'Revenue-Built-up'!M9/'Revenue-Built-up'!L9-1</f>
        <v>8.0484773151025424E-2</v>
      </c>
      <c r="N9" s="389">
        <f>'Revenue-Built-up'!N9/'Revenue-Built-up'!M9-1</f>
        <v>8.0241587575496043E-2</v>
      </c>
      <c r="O9" s="389">
        <f>'Revenue-Built-up'!O9/'Revenue-Built-up'!N9-1</f>
        <v>8.2534611288604953E-2</v>
      </c>
      <c r="P9" s="389">
        <f>'Revenue-Built-up'!P9/'Revenue-Built-up'!O9-1</f>
        <v>7.993113625184467E-2</v>
      </c>
    </row>
    <row r="10" spans="1:17" ht="15.75" customHeight="1">
      <c r="A10" s="156" t="s">
        <v>486</v>
      </c>
      <c r="E10" s="20"/>
      <c r="H10" s="389"/>
      <c r="I10" s="389"/>
      <c r="J10" s="389"/>
      <c r="K10" s="389"/>
      <c r="L10" s="389"/>
      <c r="M10" s="389"/>
      <c r="N10" s="389"/>
      <c r="O10" s="389"/>
      <c r="P10" s="389"/>
    </row>
    <row r="11" spans="1:17">
      <c r="A11" s="20" t="s">
        <v>47</v>
      </c>
      <c r="B11" s="20"/>
      <c r="E11" s="20" t="s">
        <v>485</v>
      </c>
      <c r="G11" s="390"/>
      <c r="H11" s="132">
        <f>'Cost-Built up'!G8/'Revenue-Built-up'!G11</f>
        <v>0.76262685174384692</v>
      </c>
      <c r="I11" s="132">
        <f>'Cost-Built up'!H8/'Revenue-Built-up'!H11</f>
        <v>0.77380292105749682</v>
      </c>
      <c r="J11" s="132">
        <f>'Cost-Built up'!I8/'Revenue-Built-up'!I11</f>
        <v>0.77044986141709904</v>
      </c>
      <c r="K11" s="132">
        <f>'Cost-Built up'!J8/'Revenue-Built-up'!J11</f>
        <v>0.78730860470131547</v>
      </c>
      <c r="L11" s="391">
        <v>0.73299999999999998</v>
      </c>
      <c r="M11" s="391">
        <v>0.65300000000000002</v>
      </c>
      <c r="N11" s="391">
        <v>0.57399999999999995</v>
      </c>
      <c r="O11" s="391">
        <v>0.5</v>
      </c>
      <c r="P11" s="391">
        <v>0.433</v>
      </c>
      <c r="Q11" s="20" t="s">
        <v>404</v>
      </c>
    </row>
    <row r="12" spans="1:17">
      <c r="A12" s="20" t="s">
        <v>180</v>
      </c>
      <c r="B12" s="20"/>
      <c r="E12" s="386" t="s">
        <v>177</v>
      </c>
      <c r="H12" s="390">
        <f>'Cost-Built up'!G9/'Revenue-Built-up'!G11</f>
        <v>0.61238772891636528</v>
      </c>
      <c r="I12" s="390">
        <f>'Cost-Built up'!H9/'Revenue-Built-up'!H11</f>
        <v>0.62118691070438159</v>
      </c>
      <c r="J12" s="390">
        <f>'Cost-Built up'!I9/'Revenue-Built-up'!I11</f>
        <v>0.61829294293227199</v>
      </c>
      <c r="K12" s="390">
        <f>'Cost-Built up'!J9/'Revenue-Built-up'!J11</f>
        <v>0.63187405650204875</v>
      </c>
      <c r="L12" s="328">
        <v>0.58599999999999997</v>
      </c>
      <c r="M12" s="328">
        <v>0.52200000000000002</v>
      </c>
      <c r="N12" s="328">
        <v>0.45900000000000002</v>
      </c>
      <c r="O12" s="328">
        <v>0.4</v>
      </c>
      <c r="P12" s="328">
        <v>0.34599999999999997</v>
      </c>
    </row>
    <row r="13" spans="1:17">
      <c r="A13" s="20" t="s">
        <v>48</v>
      </c>
      <c r="B13" s="20"/>
      <c r="E13" s="386" t="s">
        <v>177</v>
      </c>
      <c r="H13" s="390">
        <f>'Cost-Built up'!G10/'Revenue-Built-up'!G11</f>
        <v>0.11081301761343754</v>
      </c>
      <c r="I13" s="390">
        <f>'Cost-Built up'!H10/'Revenue-Built-up'!H11</f>
        <v>0.11240525050841191</v>
      </c>
      <c r="J13" s="390">
        <f>'Cost-Built up'!I10/'Revenue-Built-up'!I11</f>
        <v>0.11193234311704925</v>
      </c>
      <c r="K13" s="390">
        <f>'Cost-Built up'!J10/'Revenue-Built-up'!J11</f>
        <v>0.11440586586154841</v>
      </c>
      <c r="L13" s="328">
        <v>0.106</v>
      </c>
      <c r="M13" s="328">
        <v>9.5000000000000001E-2</v>
      </c>
      <c r="N13" s="328">
        <v>8.3000000000000004E-2</v>
      </c>
      <c r="O13" s="328">
        <v>7.2999999999999995E-2</v>
      </c>
      <c r="P13" s="328">
        <v>6.3E-2</v>
      </c>
    </row>
    <row r="14" spans="1:17">
      <c r="A14" s="20" t="s">
        <v>50</v>
      </c>
      <c r="B14" s="20"/>
      <c r="E14" s="386" t="s">
        <v>177</v>
      </c>
      <c r="H14" s="390">
        <f>'Cost-Built up'!G11/'Revenue-Built-up'!G11</f>
        <v>3.9426105214044091E-2</v>
      </c>
      <c r="I14" s="390">
        <f>'Cost-Built up'!H11/'Revenue-Built-up'!H11</f>
        <v>4.0210759844703271E-2</v>
      </c>
      <c r="J14" s="390">
        <f>'Cost-Built up'!I11/'Revenue-Built-up'!I11</f>
        <v>4.0224575367777696E-2</v>
      </c>
      <c r="K14" s="390">
        <f>'Cost-Built up'!J11/'Revenue-Built-up'!J11</f>
        <v>4.102868233771835E-2</v>
      </c>
      <c r="L14" s="328">
        <v>0.04</v>
      </c>
      <c r="M14" s="328">
        <v>3.5999999999999997E-2</v>
      </c>
      <c r="N14" s="328">
        <v>3.2000000000000001E-2</v>
      </c>
      <c r="O14" s="328">
        <v>3.2000000000000001E-2</v>
      </c>
      <c r="P14" s="328">
        <v>2.4E-2</v>
      </c>
      <c r="Q14" s="20" t="s">
        <v>402</v>
      </c>
    </row>
    <row r="15" spans="1:17">
      <c r="H15" s="390"/>
    </row>
    <row r="16" spans="1:17">
      <c r="A16" s="156" t="s">
        <v>49</v>
      </c>
      <c r="E16" s="386"/>
      <c r="G16" s="334"/>
      <c r="H16" s="335">
        <f>'Cost-Built up'!G13/'Revenue-Built-up'!G11</f>
        <v>9.3316225358684238E-3</v>
      </c>
      <c r="I16" s="335">
        <f>'Cost-Built up'!H13/'Revenue-Built-up'!H11</f>
        <v>9.2438528378628211E-3</v>
      </c>
      <c r="J16" s="335">
        <f>'Cost-Built up'!I13/'Revenue-Built-up'!I11</f>
        <v>9.1677919124440333E-3</v>
      </c>
      <c r="K16" s="335">
        <f>'Cost-Built up'!J13/'Revenue-Built-up'!J11</f>
        <v>9.2732370066853573E-3</v>
      </c>
      <c r="L16" s="335">
        <f>'Cost-Built up'!K13/'Revenue-Built-up'!K11</f>
        <v>8.983829107606308E-3</v>
      </c>
      <c r="M16" s="335">
        <f>'Cost-Built up'!L13/'Revenue-Built-up'!L11</f>
        <v>7.9982936973445658E-3</v>
      </c>
      <c r="N16" s="335">
        <f>'Cost-Built up'!M13/'Revenue-Built-up'!M11</f>
        <v>6.995687589841878E-3</v>
      </c>
      <c r="O16" s="335">
        <f>'Cost-Built up'!N13/'Revenue-Built-up'!N11</f>
        <v>5.991301091684189E-3</v>
      </c>
      <c r="P16" s="335">
        <f>'Cost-Built up'!O13/'Revenue-Built-up'!O11</f>
        <v>5.0140605931978562E-3</v>
      </c>
      <c r="Q16" s="20" t="s">
        <v>403</v>
      </c>
    </row>
    <row r="17" spans="1:17">
      <c r="A17" s="156" t="s">
        <v>51</v>
      </c>
      <c r="E17" s="386" t="s">
        <v>177</v>
      </c>
      <c r="H17" s="390">
        <f>'Cost-Built up'!G14/'Revenue-Built-up'!G11</f>
        <v>6.4154904934095418E-3</v>
      </c>
      <c r="I17" s="390">
        <f>'Cost-Built up'!H14/'Revenue-Built-up'!H11</f>
        <v>6.3782584581253471E-3</v>
      </c>
      <c r="J17" s="390">
        <f>'Cost-Built up'!I14/'Revenue-Built-up'!I11</f>
        <v>6.3250657380427826E-3</v>
      </c>
      <c r="K17" s="390">
        <f>'Cost-Built up'!J14/'Revenue-Built-up'!J11</f>
        <v>6.3618718999353032E-3</v>
      </c>
      <c r="L17" s="328">
        <v>7.0000000000000001E-3</v>
      </c>
      <c r="M17" s="328">
        <v>6.0000000000000001E-3</v>
      </c>
      <c r="N17" s="328">
        <v>4.0000000000000001E-3</v>
      </c>
      <c r="O17" s="328">
        <v>4.0000000000000001E-3</v>
      </c>
      <c r="P17" s="328">
        <v>3.0000000000000001E-3</v>
      </c>
    </row>
    <row r="18" spans="1:17">
      <c r="A18" s="156" t="s">
        <v>52</v>
      </c>
      <c r="E18" s="386" t="s">
        <v>177</v>
      </c>
      <c r="H18" s="390">
        <f>'Cost-Built up'!G15/'Revenue-Built-up'!G11</f>
        <v>1.3997433803802637E-3</v>
      </c>
      <c r="I18" s="390">
        <f>'Cost-Built up'!H15/'Revenue-Built-up'!H11</f>
        <v>1.6638935108153079E-3</v>
      </c>
      <c r="J18" s="390">
        <f>'Cost-Built up'!I15/'Revenue-Built-up'!I11</f>
        <v>1.7056357046407505E-3</v>
      </c>
      <c r="K18" s="390">
        <f>'Cost-Built up'!J15/'Revenue-Built-up'!J11</f>
        <v>1.779167565236144E-3</v>
      </c>
      <c r="L18" s="328">
        <v>2E-3</v>
      </c>
      <c r="M18" s="328">
        <v>1E-3</v>
      </c>
      <c r="N18" s="328">
        <v>1E-3</v>
      </c>
      <c r="O18" s="328">
        <v>1E-3</v>
      </c>
      <c r="P18" s="328">
        <v>1E-3</v>
      </c>
    </row>
    <row r="19" spans="1:17">
      <c r="A19" s="156" t="s">
        <v>53</v>
      </c>
      <c r="E19" s="386" t="s">
        <v>177</v>
      </c>
      <c r="H19" s="390">
        <f>'Cost-Built up'!G16/'Revenue-Built-up'!G11</f>
        <v>1.3997433803802637E-3</v>
      </c>
      <c r="I19" s="390">
        <f>'Cost-Built up'!H16/'Revenue-Built-up'!H11</f>
        <v>1.2017008689221668E-3</v>
      </c>
      <c r="J19" s="390">
        <f>'Cost-Built up'!I16/'Revenue-Built-up'!I11</f>
        <v>1.1370904697605004E-3</v>
      </c>
      <c r="K19" s="390">
        <f>'Cost-Built up'!J16/'Revenue-Built-up'!J11</f>
        <v>1.1321975415139098E-3</v>
      </c>
      <c r="L19" s="328">
        <v>1E-3</v>
      </c>
      <c r="M19" s="328">
        <v>1E-3</v>
      </c>
      <c r="N19" s="328">
        <v>1E-3</v>
      </c>
      <c r="O19" s="328">
        <v>1E-3</v>
      </c>
      <c r="P19" s="328">
        <v>1E-3</v>
      </c>
    </row>
    <row r="20" spans="1:17" s="392" customFormat="1">
      <c r="A20" s="156" t="s">
        <v>491</v>
      </c>
      <c r="H20" s="132">
        <v>1.6E-2</v>
      </c>
      <c r="I20" s="132">
        <v>1.6E-2</v>
      </c>
      <c r="J20" s="132">
        <v>1.6E-2</v>
      </c>
      <c r="K20" s="132">
        <v>1.6E-2</v>
      </c>
      <c r="L20" s="328">
        <v>3.5000000000000003E-2</v>
      </c>
      <c r="M20" s="328">
        <v>3.5000000000000003E-2</v>
      </c>
      <c r="N20" s="328">
        <v>3.4000000000000002E-2</v>
      </c>
      <c r="O20" s="328">
        <v>3.2000000000000001E-2</v>
      </c>
      <c r="P20" s="328">
        <v>3.1E-2</v>
      </c>
    </row>
    <row r="21" spans="1:17">
      <c r="A21" s="156" t="s">
        <v>54</v>
      </c>
      <c r="E21" s="393"/>
    </row>
    <row r="22" spans="1:17">
      <c r="A22" s="156" t="s">
        <v>55</v>
      </c>
      <c r="E22" s="393" t="s">
        <v>222</v>
      </c>
      <c r="G22" s="394">
        <f>'Cost-Built up'!G21/'Revenue-Built-up'!G11</f>
        <v>1.9013180916831914E-2</v>
      </c>
      <c r="H22" s="394">
        <f>'Cost-Built up'!H21/'Revenue-Built-up'!H11</f>
        <v>1.8025513033832503E-2</v>
      </c>
      <c r="I22" s="394">
        <f>'Cost-Built up'!I21/'Revenue-Built-up'!I11</f>
        <v>1.7980243053087912E-2</v>
      </c>
      <c r="J22" s="394">
        <f>'Cost-Built up'!J21/'Revenue-Built-up'!J11</f>
        <v>1.8007332326935518E-2</v>
      </c>
      <c r="K22" s="394">
        <f>'Cost-Built up'!K21/'Revenue-Built-up'!K11</f>
        <v>1.7009383110401278E-2</v>
      </c>
      <c r="L22" s="328">
        <v>1.6E-2</v>
      </c>
      <c r="M22" s="328">
        <v>1.4999999999999999E-2</v>
      </c>
      <c r="N22" s="328">
        <v>1.4E-2</v>
      </c>
      <c r="O22" s="328">
        <v>1.2999999999999999E-2</v>
      </c>
      <c r="P22" s="328">
        <v>1.2999999999999999E-2</v>
      </c>
      <c r="Q22" s="20" t="s">
        <v>400</v>
      </c>
    </row>
    <row r="23" spans="1:17">
      <c r="A23" s="156" t="s">
        <v>181</v>
      </c>
      <c r="E23" s="393" t="s">
        <v>222</v>
      </c>
      <c r="G23" s="394">
        <f>'Cost-Built up'!G22/'Revenue-Built-up'!G11</f>
        <v>1.5980403592674677E-2</v>
      </c>
      <c r="H23" s="394">
        <f>'Cost-Built up'!H22/'Revenue-Built-up'!H11</f>
        <v>1.5991865409502679E-2</v>
      </c>
      <c r="I23" s="394">
        <f>'Cost-Built up'!I22/'Revenue-Built-up'!I11</f>
        <v>1.5990334731007035E-2</v>
      </c>
      <c r="J23" s="394">
        <f>'Cost-Built up'!J22/'Revenue-Built-up'!J11</f>
        <v>1.6012508087125298E-2</v>
      </c>
      <c r="K23" s="394">
        <f>'Cost-Built up'!K22/'Revenue-Built-up'!K11</f>
        <v>1.60111798762228E-2</v>
      </c>
      <c r="L23" s="328">
        <v>3.5000000000000003E-2</v>
      </c>
      <c r="M23" s="328">
        <v>3.5000000000000003E-2</v>
      </c>
      <c r="N23" s="328">
        <v>3.4000000000000002E-2</v>
      </c>
      <c r="O23" s="328">
        <v>3.2000000000000001E-2</v>
      </c>
      <c r="P23" s="328">
        <v>3.1E-2</v>
      </c>
      <c r="Q23" s="20" t="s">
        <v>401</v>
      </c>
    </row>
    <row r="24" spans="1:17">
      <c r="A24" s="156" t="s">
        <v>56</v>
      </c>
      <c r="E24" s="393" t="s">
        <v>222</v>
      </c>
      <c r="G24" s="394">
        <f>'Cost-Built up'!G22/'Revenue-Built-up'!G11</f>
        <v>1.5980403592674677E-2</v>
      </c>
      <c r="H24" s="394">
        <f>'Cost-Built up'!H22/'Revenue-Built-up'!H11</f>
        <v>1.5991865409502679E-2</v>
      </c>
      <c r="I24" s="394">
        <f>'Cost-Built up'!I22/'Revenue-Built-up'!I11</f>
        <v>1.5990334731007035E-2</v>
      </c>
      <c r="J24" s="394">
        <f>'Cost-Built up'!J22/'Revenue-Built-up'!J11</f>
        <v>1.6012508087125298E-2</v>
      </c>
      <c r="K24" s="394">
        <f>'Cost-Built up'!K22/'Revenue-Built-up'!K11</f>
        <v>1.60111798762228E-2</v>
      </c>
      <c r="L24" s="328">
        <v>1.4999999999999999E-2</v>
      </c>
      <c r="M24" s="328">
        <v>1.4E-2</v>
      </c>
      <c r="N24" s="328">
        <v>1.4E-2</v>
      </c>
      <c r="O24" s="328">
        <v>1.2999999999999999E-2</v>
      </c>
      <c r="P24" s="328">
        <v>1.2999999999999999E-2</v>
      </c>
      <c r="Q24" s="20" t="s">
        <v>399</v>
      </c>
    </row>
    <row r="25" spans="1:17">
      <c r="A25" s="156" t="s">
        <v>57</v>
      </c>
      <c r="E25" s="393" t="s">
        <v>222</v>
      </c>
      <c r="G25" s="394">
        <f>'Cost-Built up'!G23/'Revenue-Built-up'!G11</f>
        <v>5.9489093666161208E-3</v>
      </c>
      <c r="H25" s="394">
        <f>'Cost-Built up'!H23/'Revenue-Built-up'!H11</f>
        <v>6.0085043446108334E-3</v>
      </c>
      <c r="I25" s="394">
        <f>'Cost-Built up'!I23/'Revenue-Built-up'!I11</f>
        <v>5.9697249662426267E-3</v>
      </c>
      <c r="J25" s="394">
        <f>'Cost-Built up'!J23/'Revenue-Built-up'!J11</f>
        <v>5.9844727194306663E-3</v>
      </c>
      <c r="K25" s="394">
        <f>'Cost-Built up'!K23/'Revenue-Built-up'!K11</f>
        <v>4.991016170892394E-3</v>
      </c>
      <c r="L25" s="328">
        <v>5.0000000000000001E-3</v>
      </c>
      <c r="M25" s="328">
        <v>5.0000000000000001E-3</v>
      </c>
      <c r="N25" s="328">
        <v>5.0000000000000001E-3</v>
      </c>
      <c r="O25" s="328">
        <v>5.0000000000000001E-3</v>
      </c>
      <c r="P25" s="328">
        <v>4.0000000000000001E-3</v>
      </c>
    </row>
    <row r="26" spans="1:17">
      <c r="A26" s="156" t="s">
        <v>58</v>
      </c>
      <c r="E26" s="393" t="s">
        <v>222</v>
      </c>
      <c r="G26" s="394">
        <f>'Cost-Built up'!G24/'Revenue-Built-up'!G11</f>
        <v>5.0157471130292779E-3</v>
      </c>
      <c r="H26" s="394">
        <f>'Cost-Built up'!H24/'Revenue-Built-up'!H11</f>
        <v>6.0085043446108334E-3</v>
      </c>
      <c r="I26" s="394">
        <f>'Cost-Built up'!I24/'Revenue-Built-up'!I11</f>
        <v>5.9697249662426267E-3</v>
      </c>
      <c r="J26" s="394">
        <f>'Cost-Built up'!J24/'Revenue-Built-up'!J11</f>
        <v>5.9844727194306663E-3</v>
      </c>
      <c r="K26" s="394">
        <f>'Cost-Built up'!K24/'Revenue-Built-up'!K11</f>
        <v>4.991016170892394E-3</v>
      </c>
      <c r="L26" s="328">
        <v>6.0000000000000001E-3</v>
      </c>
      <c r="M26" s="328">
        <v>6.0000000000000001E-3</v>
      </c>
      <c r="N26" s="328">
        <v>6.0000000000000001E-3</v>
      </c>
      <c r="O26" s="328">
        <v>7.0000000000000001E-3</v>
      </c>
      <c r="P26" s="328">
        <v>7.0000000000000001E-3</v>
      </c>
    </row>
    <row r="27" spans="1:17">
      <c r="A27" s="20" t="s">
        <v>388</v>
      </c>
      <c r="G27" s="394">
        <f>'Cost-Built up'!G26/'Revenue-Built-up'!G11</f>
        <v>0.17135191881488393</v>
      </c>
      <c r="H27" s="394">
        <f>'Cost-Built up'!H26/'Revenue-Built-up'!H11</f>
        <v>0.1601959696801627</v>
      </c>
      <c r="I27" s="394">
        <f>'Cost-Built up'!I26/'Revenue-Built-up'!I11</f>
        <v>0.16366995949115201</v>
      </c>
      <c r="J27" s="394">
        <f>'Cost-Built up'!J26/'Revenue-Built-up'!J11</f>
        <v>0.14675436704766012</v>
      </c>
      <c r="K27" s="394">
        <f>'Cost-Built up'!K26/'Revenue-Built-up'!K11</f>
        <v>0.20363345977240965</v>
      </c>
      <c r="L27" s="394">
        <f>'Cost-Built up'!L26/'Revenue-Built-up'!L11</f>
        <v>0.25750950908250686</v>
      </c>
      <c r="M27" s="394">
        <f>'Cost-Built up'!M26/'Revenue-Built-up'!M11</f>
        <v>0.33997763935473568</v>
      </c>
      <c r="N27" s="394">
        <f>'Cost-Built up'!N26/'Revenue-Built-up'!N11</f>
        <v>0.41800846847365841</v>
      </c>
      <c r="O27" s="394">
        <f>'Cost-Built up'!O26/'Revenue-Built-up'!O11</f>
        <v>0.48991881997134823</v>
      </c>
      <c r="P27" s="394">
        <f>'Cost-Built up'!P26/'Revenue-Built-up'!P11</f>
        <v>0.58013394499914139</v>
      </c>
    </row>
    <row r="28" spans="1:17">
      <c r="A28" s="141" t="s">
        <v>182</v>
      </c>
      <c r="G28" s="394"/>
      <c r="H28" s="394"/>
      <c r="I28" s="394"/>
      <c r="J28" s="394"/>
      <c r="K28" s="394"/>
      <c r="L28" s="394"/>
      <c r="M28" s="394"/>
      <c r="N28" s="394"/>
      <c r="O28" s="394"/>
      <c r="P28" s="394"/>
    </row>
    <row r="29" spans="1:17">
      <c r="A29" s="20" t="s">
        <v>183</v>
      </c>
      <c r="E29" s="20" t="s">
        <v>243</v>
      </c>
      <c r="G29" s="147"/>
      <c r="H29" s="147">
        <f>AVERAGE('Balance Sheet '!F22,'Balance Sheet '!G22)/'Income Statement '!G8*365</f>
        <v>309.75871826246561</v>
      </c>
      <c r="I29" s="147">
        <f>AVERAGE('Balance Sheet '!G22,'Balance Sheet '!H22)/'Income Statement '!H8*365</f>
        <v>279.2330665392426</v>
      </c>
      <c r="J29" s="147">
        <f>AVERAGE('Balance Sheet '!H22,'Balance Sheet '!I22)/'Income Statement '!I8*365</f>
        <v>257.76588875564983</v>
      </c>
      <c r="K29" s="147">
        <f>AVERAGE('Balance Sheet '!I22,'Balance Sheet '!J22)/'Income Statement '!J8*365</f>
        <v>224.69133054851744</v>
      </c>
      <c r="L29" s="342">
        <v>95</v>
      </c>
      <c r="M29" s="342">
        <v>95</v>
      </c>
      <c r="N29" s="342">
        <v>95</v>
      </c>
      <c r="O29" s="342">
        <v>95</v>
      </c>
      <c r="P29" s="342">
        <v>95</v>
      </c>
      <c r="Q29" s="20" t="s">
        <v>398</v>
      </c>
    </row>
    <row r="30" spans="1:17">
      <c r="A30" s="20" t="s">
        <v>184</v>
      </c>
      <c r="E30" s="395" t="s">
        <v>241</v>
      </c>
      <c r="H30" s="332">
        <f>AVERAGE('Balance Sheet '!F23,'Balance Sheet '!G23)/'Income Statement '!H5*365</f>
        <v>3.9138472915511184</v>
      </c>
      <c r="I30" s="332">
        <f>AVERAGE('Balance Sheet '!G23,'Balance Sheet '!H23)/'Income Statement '!I5*365</f>
        <v>4.7080875559661717</v>
      </c>
      <c r="J30" s="332">
        <f>AVERAGE('Balance Sheet '!H23,'Balance Sheet '!I23)/'Income Statement '!J5*365</f>
        <v>5.6281000646970023</v>
      </c>
      <c r="K30" s="332">
        <f>AVERAGE('Balance Sheet '!I23,'Balance Sheet '!J23)/'Income Statement '!K5*365</f>
        <v>5.3048512677181074</v>
      </c>
      <c r="L30" s="396">
        <v>5.5</v>
      </c>
      <c r="M30" s="396">
        <v>5.5</v>
      </c>
      <c r="N30" s="396">
        <v>5.5</v>
      </c>
      <c r="O30" s="396">
        <v>5.5</v>
      </c>
      <c r="P30" s="396">
        <v>5.5</v>
      </c>
      <c r="Q30" s="20" t="s">
        <v>397</v>
      </c>
    </row>
    <row r="31" spans="1:17">
      <c r="A31" s="20" t="s">
        <v>26</v>
      </c>
      <c r="E31" s="395" t="s">
        <v>242</v>
      </c>
      <c r="H31" s="332">
        <f>AVERAGE('Balance Sheet '!F12,'Balance Sheet '!G12)/'Income Statement '!G8*365</f>
        <v>37.599801162434993</v>
      </c>
      <c r="I31" s="332">
        <f>AVERAGE('Balance Sheet '!G12,'Balance Sheet '!H12)/'Income Statement '!H8*365</f>
        <v>40.332696213116712</v>
      </c>
      <c r="J31" s="332">
        <f>AVERAGE('Balance Sheet '!H12,'Balance Sheet '!I12)/'Income Statement '!I8*365</f>
        <v>52.809012083756116</v>
      </c>
      <c r="K31" s="332">
        <f>AVERAGE('Balance Sheet '!I12,'Balance Sheet '!J12)/'Income Statement '!J8*365</f>
        <v>53.663973156200775</v>
      </c>
      <c r="L31" s="342">
        <v>60</v>
      </c>
      <c r="M31" s="342">
        <v>60</v>
      </c>
      <c r="N31" s="342">
        <v>60</v>
      </c>
      <c r="O31" s="342">
        <v>60</v>
      </c>
      <c r="P31" s="342">
        <v>60</v>
      </c>
    </row>
    <row r="33" spans="1:17">
      <c r="A33" s="141" t="s">
        <v>185</v>
      </c>
      <c r="K33" s="397"/>
      <c r="L33" s="397"/>
      <c r="M33" s="397"/>
      <c r="N33" s="397"/>
      <c r="O33" s="397"/>
      <c r="P33" s="342"/>
    </row>
    <row r="34" spans="1:17">
      <c r="A34" s="129" t="s">
        <v>45</v>
      </c>
      <c r="K34" s="342">
        <v>320</v>
      </c>
      <c r="L34" s="342">
        <v>360</v>
      </c>
      <c r="M34" s="342">
        <v>400</v>
      </c>
      <c r="N34" s="342">
        <v>450</v>
      </c>
      <c r="O34" s="342">
        <v>500</v>
      </c>
      <c r="P34" s="342">
        <v>560</v>
      </c>
    </row>
    <row r="35" spans="1:17">
      <c r="A35" s="20" t="s">
        <v>186</v>
      </c>
      <c r="K35" s="397">
        <v>1600</v>
      </c>
      <c r="L35" s="397">
        <v>1400</v>
      </c>
      <c r="M35" s="397">
        <v>1200</v>
      </c>
      <c r="N35" s="397">
        <v>1100</v>
      </c>
      <c r="O35" s="397">
        <v>1000</v>
      </c>
      <c r="P35" s="342">
        <v>900</v>
      </c>
    </row>
    <row r="36" spans="1:17">
      <c r="A36" s="156" t="s">
        <v>110</v>
      </c>
      <c r="K36" s="397"/>
      <c r="L36" s="397"/>
      <c r="M36" s="397"/>
      <c r="N36" s="397"/>
      <c r="O36" s="397"/>
      <c r="P36" s="342"/>
    </row>
    <row r="37" spans="1:17">
      <c r="A37" s="289" t="s">
        <v>32</v>
      </c>
      <c r="G37" s="348">
        <v>186.1</v>
      </c>
      <c r="H37" s="348">
        <v>0</v>
      </c>
      <c r="I37" s="348">
        <v>0</v>
      </c>
      <c r="J37" s="348">
        <v>0</v>
      </c>
      <c r="K37" s="348">
        <v>0</v>
      </c>
      <c r="L37" s="348">
        <v>0</v>
      </c>
      <c r="M37" s="348">
        <v>0</v>
      </c>
      <c r="N37" s="348">
        <v>0</v>
      </c>
      <c r="O37" s="348">
        <v>0</v>
      </c>
      <c r="P37" s="348">
        <v>0</v>
      </c>
    </row>
    <row r="38" spans="1:17">
      <c r="A38" s="289" t="s">
        <v>228</v>
      </c>
      <c r="G38" s="348">
        <v>186.1</v>
      </c>
      <c r="H38" s="348">
        <v>197.2</v>
      </c>
      <c r="I38" s="348">
        <v>71.5</v>
      </c>
      <c r="J38" s="348">
        <v>85.5</v>
      </c>
      <c r="K38" s="348">
        <v>116</v>
      </c>
      <c r="L38" s="348">
        <v>40</v>
      </c>
      <c r="M38" s="348">
        <v>30</v>
      </c>
      <c r="N38" s="348">
        <v>25</v>
      </c>
      <c r="O38" s="348">
        <v>20</v>
      </c>
      <c r="P38" s="348">
        <v>15</v>
      </c>
    </row>
    <row r="39" spans="1:17">
      <c r="A39" s="289" t="s">
        <v>34</v>
      </c>
      <c r="G39" s="348">
        <v>54.31</v>
      </c>
      <c r="H39" s="348">
        <v>11.92</v>
      </c>
      <c r="I39" s="348">
        <v>5.53</v>
      </c>
      <c r="J39" s="348">
        <v>22.07</v>
      </c>
      <c r="K39" s="348">
        <v>21.65</v>
      </c>
      <c r="L39" s="348">
        <v>15</v>
      </c>
      <c r="M39" s="348">
        <v>12</v>
      </c>
      <c r="N39" s="348">
        <v>10</v>
      </c>
      <c r="O39" s="348">
        <v>8</v>
      </c>
      <c r="P39" s="348">
        <v>6</v>
      </c>
    </row>
    <row r="40" spans="1:17">
      <c r="A40" s="129" t="s">
        <v>190</v>
      </c>
      <c r="B40" s="156" t="s">
        <v>189</v>
      </c>
      <c r="G40" s="348">
        <v>91.76</v>
      </c>
      <c r="H40" s="348">
        <v>11.37</v>
      </c>
      <c r="I40" s="348">
        <v>6.05</v>
      </c>
      <c r="J40" s="348">
        <v>10.38</v>
      </c>
      <c r="K40" s="348">
        <v>14.8</v>
      </c>
      <c r="L40" s="348">
        <v>12</v>
      </c>
      <c r="M40" s="348">
        <v>10</v>
      </c>
      <c r="N40" s="348">
        <v>8</v>
      </c>
      <c r="O40" s="348">
        <v>6</v>
      </c>
      <c r="P40" s="348">
        <v>5</v>
      </c>
    </row>
    <row r="41" spans="1:17">
      <c r="A41" s="129" t="s">
        <v>36</v>
      </c>
      <c r="G41" s="348">
        <v>26.49</v>
      </c>
      <c r="H41" s="348">
        <v>1.78</v>
      </c>
      <c r="I41" s="348">
        <v>5.87</v>
      </c>
      <c r="J41" s="348">
        <v>5.75</v>
      </c>
      <c r="K41" s="348">
        <v>6.66</v>
      </c>
      <c r="L41" s="348">
        <v>5</v>
      </c>
      <c r="M41" s="348">
        <v>4</v>
      </c>
      <c r="N41" s="348">
        <v>3</v>
      </c>
      <c r="O41" s="348">
        <v>2</v>
      </c>
      <c r="P41" s="348">
        <v>2</v>
      </c>
    </row>
    <row r="42" spans="1:17">
      <c r="A42" s="129" t="s">
        <v>37</v>
      </c>
      <c r="G42" s="348">
        <v>729.77</v>
      </c>
      <c r="H42" s="348">
        <v>77.489999999999995</v>
      </c>
      <c r="I42" s="348">
        <v>107.79</v>
      </c>
      <c r="J42" s="348">
        <v>71.22</v>
      </c>
      <c r="K42" s="348">
        <v>97.13</v>
      </c>
      <c r="L42" s="348">
        <v>50</v>
      </c>
      <c r="M42" s="348">
        <v>40</v>
      </c>
      <c r="N42" s="348">
        <v>30</v>
      </c>
      <c r="O42" s="348">
        <v>5</v>
      </c>
      <c r="P42" s="348">
        <v>20</v>
      </c>
    </row>
    <row r="43" spans="1:17">
      <c r="A43" s="129" t="s">
        <v>38</v>
      </c>
      <c r="G43" s="348">
        <v>97.13</v>
      </c>
      <c r="H43" s="348">
        <v>0.99</v>
      </c>
      <c r="I43" s="348">
        <v>0.97</v>
      </c>
      <c r="J43" s="348">
        <v>1.04</v>
      </c>
      <c r="K43" s="348">
        <v>1</v>
      </c>
      <c r="L43" s="348">
        <v>1</v>
      </c>
      <c r="M43" s="348">
        <v>1</v>
      </c>
      <c r="N43" s="348">
        <v>1</v>
      </c>
      <c r="O43" s="348">
        <v>1</v>
      </c>
      <c r="P43" s="348">
        <v>1</v>
      </c>
    </row>
    <row r="44" spans="1:17">
      <c r="A44" s="129" t="s">
        <v>230</v>
      </c>
      <c r="G44" s="348">
        <v>5.0599999999999996</v>
      </c>
      <c r="H44" s="348">
        <v>5.0599999999999996</v>
      </c>
      <c r="I44" s="348">
        <v>5.0599999999999996</v>
      </c>
      <c r="J44" s="348">
        <v>5.0599999999999996</v>
      </c>
      <c r="K44" s="348">
        <v>5.0599999999999996</v>
      </c>
      <c r="L44" s="348">
        <v>1</v>
      </c>
      <c r="M44" s="348">
        <v>1</v>
      </c>
      <c r="N44" s="348">
        <v>0.5</v>
      </c>
      <c r="O44" s="348">
        <v>0.5</v>
      </c>
      <c r="P44" s="348">
        <v>0.5</v>
      </c>
    </row>
    <row r="45" spans="1:17">
      <c r="A45" s="129" t="s">
        <v>39</v>
      </c>
      <c r="G45" s="348">
        <v>1069.42</v>
      </c>
      <c r="H45" s="348">
        <v>1083.8800000000001</v>
      </c>
      <c r="I45" s="348">
        <v>1053.1400000000001</v>
      </c>
      <c r="J45" s="348">
        <v>1235.55</v>
      </c>
      <c r="K45" s="348">
        <v>97.14</v>
      </c>
      <c r="L45" s="348">
        <v>5</v>
      </c>
      <c r="M45" s="348">
        <v>5</v>
      </c>
      <c r="N45" s="348">
        <v>5</v>
      </c>
      <c r="O45" s="348">
        <v>5</v>
      </c>
      <c r="P45" s="348">
        <v>5</v>
      </c>
    </row>
    <row r="46" spans="1:17" ht="16.5" thickBot="1">
      <c r="A46" s="336" t="s">
        <v>229</v>
      </c>
      <c r="B46" s="298"/>
      <c r="C46" s="298"/>
      <c r="D46" s="337"/>
      <c r="E46" s="298"/>
      <c r="F46" s="298"/>
      <c r="G46" s="410">
        <v>2574.4699999999998</v>
      </c>
      <c r="H46" s="411">
        <v>2691.47</v>
      </c>
      <c r="I46" s="411">
        <v>2592.46</v>
      </c>
      <c r="J46" s="410">
        <v>3101.9</v>
      </c>
      <c r="K46" s="410">
        <v>3985.46</v>
      </c>
      <c r="L46" s="410">
        <f>SUM(L37:L45)</f>
        <v>129</v>
      </c>
      <c r="M46" s="410">
        <f>SUM(M37:M45)</f>
        <v>103</v>
      </c>
      <c r="N46" s="410">
        <f>SUM(N37:N45)</f>
        <v>82.5</v>
      </c>
      <c r="O46" s="410">
        <f>SUM(O37:O45)</f>
        <v>47.5</v>
      </c>
      <c r="P46" s="410">
        <f>SUM(P37:P45)</f>
        <v>54.5</v>
      </c>
      <c r="Q46" s="298"/>
    </row>
    <row r="47" spans="1:17" ht="16.5" thickTop="1">
      <c r="A47" s="20" t="s">
        <v>406</v>
      </c>
      <c r="B47" s="20"/>
    </row>
    <row r="48" spans="1:17" ht="20.25" customHeight="1">
      <c r="A48" s="141" t="s">
        <v>227</v>
      </c>
      <c r="E48" s="178" t="s">
        <v>187</v>
      </c>
      <c r="F48" s="398"/>
      <c r="G48" s="398" t="s">
        <v>188</v>
      </c>
    </row>
    <row r="49" spans="1:8">
      <c r="A49" s="289" t="s">
        <v>32</v>
      </c>
      <c r="B49" s="142"/>
      <c r="E49" s="399">
        <v>0</v>
      </c>
      <c r="F49" s="294"/>
      <c r="G49" s="294">
        <v>0</v>
      </c>
      <c r="H49" s="20" t="s">
        <v>396</v>
      </c>
    </row>
    <row r="50" spans="1:8">
      <c r="A50" s="289" t="s">
        <v>33</v>
      </c>
      <c r="B50" s="142"/>
      <c r="E50" s="292">
        <v>3.1699999999999999E-2</v>
      </c>
      <c r="F50" s="294"/>
      <c r="G50" s="294">
        <v>0.1</v>
      </c>
    </row>
    <row r="51" spans="1:8">
      <c r="A51" s="289" t="s">
        <v>34</v>
      </c>
      <c r="B51" s="142"/>
      <c r="E51" s="292">
        <v>6.3299999999999995E-2</v>
      </c>
      <c r="F51" s="294"/>
      <c r="G51" s="294">
        <v>0.15</v>
      </c>
    </row>
    <row r="52" spans="1:8">
      <c r="A52" s="129" t="s">
        <v>190</v>
      </c>
      <c r="B52" s="142" t="s">
        <v>189</v>
      </c>
      <c r="E52" s="292"/>
      <c r="F52" s="392"/>
      <c r="G52" s="392"/>
    </row>
    <row r="53" spans="1:8">
      <c r="A53" s="129" t="s">
        <v>36</v>
      </c>
      <c r="B53" s="142"/>
      <c r="E53" s="292">
        <v>0.31669999999999998</v>
      </c>
      <c r="F53" s="294"/>
      <c r="G53" s="294">
        <v>0.4</v>
      </c>
    </row>
    <row r="54" spans="1:8">
      <c r="A54" s="129" t="s">
        <v>37</v>
      </c>
      <c r="B54" s="142"/>
      <c r="E54" s="292">
        <v>9.5000000000000001E-2</v>
      </c>
      <c r="F54" s="294"/>
      <c r="G54" s="294">
        <v>0.1</v>
      </c>
    </row>
    <row r="55" spans="1:8">
      <c r="A55" s="129" t="s">
        <v>38</v>
      </c>
      <c r="B55" s="142"/>
      <c r="E55" s="292">
        <v>0.1188</v>
      </c>
      <c r="F55" s="294"/>
      <c r="G55" s="294">
        <v>0.15</v>
      </c>
    </row>
    <row r="56" spans="1:8">
      <c r="A56" s="129" t="s">
        <v>230</v>
      </c>
      <c r="E56" s="292">
        <v>0.2</v>
      </c>
      <c r="F56" s="392"/>
      <c r="G56" s="392"/>
    </row>
    <row r="57" spans="1:8">
      <c r="A57" s="141" t="s">
        <v>191</v>
      </c>
      <c r="E57" s="392"/>
      <c r="F57" s="392"/>
      <c r="G57" s="392"/>
    </row>
    <row r="58" spans="1:8">
      <c r="A58" s="20" t="s">
        <v>192</v>
      </c>
      <c r="E58" s="294"/>
      <c r="F58" s="392"/>
      <c r="G58" s="294">
        <v>0.72</v>
      </c>
    </row>
    <row r="59" spans="1:8">
      <c r="A59" s="20" t="s">
        <v>193</v>
      </c>
      <c r="E59" s="393" t="s">
        <v>235</v>
      </c>
      <c r="F59" s="392"/>
      <c r="G59" s="400">
        <v>100</v>
      </c>
    </row>
    <row r="60" spans="1:8">
      <c r="A60" s="20" t="s">
        <v>195</v>
      </c>
      <c r="E60" s="20"/>
      <c r="G60" s="401">
        <v>9.7000000000000003E-2</v>
      </c>
      <c r="H60" s="20" t="s">
        <v>389</v>
      </c>
    </row>
    <row r="61" spans="1:8">
      <c r="A61" s="20" t="s">
        <v>194</v>
      </c>
    </row>
    <row r="62" spans="1:8">
      <c r="A62" s="20" t="s">
        <v>196</v>
      </c>
    </row>
    <row r="64" spans="1:8">
      <c r="A64" s="20" t="s">
        <v>197</v>
      </c>
      <c r="G64" s="401" t="s">
        <v>391</v>
      </c>
      <c r="H64" s="20" t="s">
        <v>390</v>
      </c>
    </row>
    <row r="65" spans="1:16">
      <c r="A65" s="20" t="s">
        <v>196</v>
      </c>
      <c r="G65" s="401">
        <v>8.6999999999999994E-2</v>
      </c>
    </row>
    <row r="66" spans="1:16">
      <c r="A66" s="20" t="s">
        <v>198</v>
      </c>
      <c r="G66" s="402">
        <v>0</v>
      </c>
    </row>
    <row r="67" spans="1:16">
      <c r="A67" s="20" t="s">
        <v>199</v>
      </c>
      <c r="G67" s="403"/>
    </row>
    <row r="68" spans="1:16">
      <c r="G68" s="403"/>
    </row>
    <row r="69" spans="1:16">
      <c r="A69" s="141" t="s">
        <v>200</v>
      </c>
      <c r="G69" s="403"/>
    </row>
    <row r="70" spans="1:16">
      <c r="A70" s="20" t="s">
        <v>201</v>
      </c>
      <c r="G70" s="404">
        <v>103</v>
      </c>
      <c r="H70" s="20" t="s">
        <v>407</v>
      </c>
    </row>
    <row r="71" spans="1:16">
      <c r="A71" s="20" t="s">
        <v>202</v>
      </c>
      <c r="D71" s="20" t="s">
        <v>207</v>
      </c>
      <c r="G71" s="404">
        <v>10.3</v>
      </c>
    </row>
    <row r="72" spans="1:16">
      <c r="A72" s="20" t="s">
        <v>203</v>
      </c>
      <c r="G72" s="403"/>
    </row>
    <row r="73" spans="1:16">
      <c r="A73" s="20" t="s">
        <v>208</v>
      </c>
      <c r="G73" s="405">
        <v>50</v>
      </c>
    </row>
    <row r="74" spans="1:16">
      <c r="A74" s="20" t="s">
        <v>209</v>
      </c>
      <c r="G74" s="405" t="s">
        <v>210</v>
      </c>
      <c r="L74" s="20">
        <v>25</v>
      </c>
      <c r="M74" s="20">
        <v>25</v>
      </c>
      <c r="N74" s="20">
        <v>25</v>
      </c>
      <c r="O74" s="20">
        <v>25</v>
      </c>
      <c r="P74" s="20">
        <v>25</v>
      </c>
    </row>
    <row r="75" spans="1:16">
      <c r="A75" s="20" t="s">
        <v>204</v>
      </c>
      <c r="G75" s="405" t="s">
        <v>205</v>
      </c>
      <c r="L75" s="20" t="s">
        <v>408</v>
      </c>
    </row>
    <row r="76" spans="1:16">
      <c r="A76" s="20" t="s">
        <v>206</v>
      </c>
      <c r="G76" s="406">
        <v>0</v>
      </c>
      <c r="H76" s="406">
        <v>0</v>
      </c>
      <c r="I76" s="406">
        <v>0</v>
      </c>
      <c r="J76" s="406">
        <v>0</v>
      </c>
      <c r="K76" s="406">
        <v>0</v>
      </c>
      <c r="L76" s="406">
        <v>0</v>
      </c>
      <c r="M76" s="406">
        <v>0</v>
      </c>
      <c r="N76" s="406">
        <v>0</v>
      </c>
      <c r="O76" s="406">
        <v>0.1</v>
      </c>
      <c r="P76" s="406">
        <v>0.25</v>
      </c>
    </row>
    <row r="77" spans="1:16">
      <c r="A77" s="141" t="s">
        <v>266</v>
      </c>
      <c r="G77" s="407">
        <v>6.5000000000000002E-2</v>
      </c>
      <c r="H77" s="20" t="s">
        <v>411</v>
      </c>
    </row>
    <row r="78" spans="1:16">
      <c r="A78" s="141" t="s">
        <v>211</v>
      </c>
      <c r="B78" s="142"/>
      <c r="C78" s="142"/>
      <c r="G78" s="403"/>
    </row>
    <row r="79" spans="1:16">
      <c r="A79" s="440" t="s">
        <v>212</v>
      </c>
      <c r="B79" s="440"/>
      <c r="C79" s="440"/>
      <c r="D79" s="441"/>
      <c r="G79" s="408">
        <v>0.25169999999999998</v>
      </c>
      <c r="H79" s="156" t="s">
        <v>409</v>
      </c>
    </row>
    <row r="80" spans="1:16">
      <c r="A80" s="440" t="s">
        <v>213</v>
      </c>
      <c r="B80" s="440"/>
      <c r="C80" s="440"/>
      <c r="D80" s="441"/>
      <c r="G80" s="408">
        <v>0.1575</v>
      </c>
      <c r="H80" s="20" t="s">
        <v>410</v>
      </c>
    </row>
    <row r="81" spans="1:8">
      <c r="A81" s="440" t="s">
        <v>214</v>
      </c>
      <c r="B81" s="440"/>
      <c r="C81" s="440"/>
      <c r="D81" s="441"/>
      <c r="G81" s="403"/>
    </row>
    <row r="82" spans="1:8">
      <c r="G82" s="403"/>
    </row>
    <row r="83" spans="1:8">
      <c r="A83" s="141" t="s">
        <v>215</v>
      </c>
      <c r="G83" s="408"/>
    </row>
    <row r="84" spans="1:8">
      <c r="A84" s="20" t="s">
        <v>217</v>
      </c>
      <c r="G84" s="408">
        <v>6.8000000000000005E-2</v>
      </c>
    </row>
    <row r="85" spans="1:8">
      <c r="A85" s="20" t="s">
        <v>216</v>
      </c>
      <c r="G85" s="408">
        <v>7.4999999999999997E-2</v>
      </c>
    </row>
    <row r="86" spans="1:8">
      <c r="A86" s="20" t="s">
        <v>218</v>
      </c>
      <c r="G86" s="408">
        <v>0.14299999999999999</v>
      </c>
    </row>
    <row r="87" spans="1:8">
      <c r="A87" s="20" t="s">
        <v>219</v>
      </c>
      <c r="G87" s="404">
        <v>1.18</v>
      </c>
      <c r="H87" s="20" t="s">
        <v>392</v>
      </c>
    </row>
    <row r="88" spans="1:8">
      <c r="A88" s="20" t="s">
        <v>220</v>
      </c>
      <c r="G88" s="408">
        <v>0.1565</v>
      </c>
      <c r="H88" s="20" t="s">
        <v>395</v>
      </c>
    </row>
    <row r="89" spans="1:8">
      <c r="A89" s="20" t="s">
        <v>133</v>
      </c>
      <c r="G89" s="408">
        <v>9.7500000000000003E-2</v>
      </c>
    </row>
    <row r="90" spans="1:8">
      <c r="A90" s="20" t="s">
        <v>221</v>
      </c>
      <c r="G90" s="408">
        <v>7.2900000000000006E-2</v>
      </c>
    </row>
    <row r="91" spans="1:8">
      <c r="A91" s="20" t="s">
        <v>136</v>
      </c>
      <c r="G91" s="408">
        <v>0.12</v>
      </c>
      <c r="H91" s="20" t="s">
        <v>393</v>
      </c>
    </row>
    <row r="92" spans="1:8">
      <c r="A92" s="20" t="s">
        <v>137</v>
      </c>
      <c r="G92" s="408">
        <v>0.05</v>
      </c>
      <c r="H92" s="20" t="s">
        <v>394</v>
      </c>
    </row>
    <row r="93" spans="1:8">
      <c r="G93" s="403"/>
    </row>
  </sheetData>
  <mergeCells count="3">
    <mergeCell ref="A79:D79"/>
    <mergeCell ref="A80:D80"/>
    <mergeCell ref="A81:D8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showGridLines="0" workbookViewId="0">
      <selection activeCell="H17" sqref="H17"/>
    </sheetView>
  </sheetViews>
  <sheetFormatPr defaultColWidth="8.875" defaultRowHeight="15.75"/>
  <cols>
    <col min="1" max="3" width="8.875" style="156"/>
    <col min="4" max="4" width="13" style="320" customWidth="1"/>
    <col min="5" max="6" width="8.875" style="156"/>
    <col min="7" max="7" width="14.125" style="156" bestFit="1" customWidth="1"/>
    <col min="8" max="11" width="12.625" style="156" bestFit="1" customWidth="1"/>
    <col min="12" max="16" width="14" style="156" bestFit="1" customWidth="1"/>
    <col min="17" max="16384" width="8.875" style="156"/>
  </cols>
  <sheetData>
    <row r="1" spans="1:16">
      <c r="A1" s="156" t="s">
        <v>13</v>
      </c>
      <c r="C1" s="374"/>
    </row>
    <row r="2" spans="1:16" s="321" customFormat="1">
      <c r="D2" s="322"/>
      <c r="G2" s="321">
        <v>1</v>
      </c>
      <c r="H2" s="321">
        <v>2</v>
      </c>
      <c r="I2" s="321">
        <v>3</v>
      </c>
      <c r="J2" s="321">
        <v>4</v>
      </c>
      <c r="K2" s="321">
        <v>5</v>
      </c>
      <c r="L2" s="321">
        <v>6</v>
      </c>
      <c r="M2" s="321">
        <v>7</v>
      </c>
      <c r="N2" s="321">
        <v>8</v>
      </c>
      <c r="O2" s="321">
        <v>9</v>
      </c>
      <c r="P2" s="321">
        <v>10</v>
      </c>
    </row>
    <row r="3" spans="1:16">
      <c r="A3" s="156" t="s">
        <v>1</v>
      </c>
    </row>
    <row r="4" spans="1:16" s="325" customFormat="1">
      <c r="D4" s="375"/>
      <c r="E4" s="325" t="s">
        <v>377</v>
      </c>
      <c r="G4" s="325" t="s">
        <v>2</v>
      </c>
      <c r="H4" s="325" t="s">
        <v>3</v>
      </c>
      <c r="I4" s="325" t="s">
        <v>4</v>
      </c>
      <c r="J4" s="325" t="s">
        <v>5</v>
      </c>
      <c r="K4" s="325" t="s">
        <v>6</v>
      </c>
      <c r="L4" s="325" t="s">
        <v>8</v>
      </c>
      <c r="M4" s="325" t="s">
        <v>9</v>
      </c>
      <c r="N4" s="325" t="s">
        <v>10</v>
      </c>
      <c r="O4" s="325" t="s">
        <v>11</v>
      </c>
      <c r="P4" s="325" t="s">
        <v>12</v>
      </c>
    </row>
    <row r="5" spans="1:16">
      <c r="A5" s="156" t="s">
        <v>7</v>
      </c>
    </row>
    <row r="6" spans="1:16">
      <c r="A6" s="442" t="s">
        <v>16</v>
      </c>
      <c r="B6" s="442"/>
      <c r="C6" s="442"/>
      <c r="D6" s="443"/>
      <c r="G6" s="334"/>
      <c r="H6" s="334"/>
      <c r="I6" s="334"/>
      <c r="J6" s="334"/>
      <c r="K6" s="334"/>
    </row>
    <row r="7" spans="1:16">
      <c r="A7" s="376"/>
      <c r="B7" s="376" t="s">
        <v>475</v>
      </c>
      <c r="C7" s="376"/>
      <c r="D7" s="377"/>
      <c r="E7" s="156" t="s">
        <v>378</v>
      </c>
      <c r="G7" s="378">
        <v>15.72</v>
      </c>
      <c r="H7" s="378">
        <v>20.28</v>
      </c>
      <c r="I7" s="378">
        <v>23.8</v>
      </c>
      <c r="J7" s="378">
        <v>25.1</v>
      </c>
      <c r="K7" s="378">
        <v>35.549999999999997</v>
      </c>
      <c r="L7" s="20">
        <v>39.97</v>
      </c>
      <c r="M7" s="20">
        <v>44.37</v>
      </c>
      <c r="N7" s="20">
        <v>49.04</v>
      </c>
      <c r="O7" s="20">
        <v>53.5</v>
      </c>
      <c r="P7" s="20">
        <v>57.62</v>
      </c>
    </row>
    <row r="8" spans="1:16">
      <c r="A8" s="444" t="s">
        <v>476</v>
      </c>
      <c r="B8" s="444"/>
      <c r="C8" s="444"/>
      <c r="D8" s="445"/>
      <c r="E8" s="156" t="s">
        <v>379</v>
      </c>
      <c r="G8" s="379">
        <v>4800</v>
      </c>
      <c r="H8" s="379">
        <v>4700</v>
      </c>
      <c r="I8" s="379">
        <v>5200</v>
      </c>
      <c r="J8" s="379">
        <v>5600</v>
      </c>
      <c r="K8" s="379">
        <v>6200</v>
      </c>
      <c r="L8" s="327">
        <v>6696</v>
      </c>
      <c r="M8" s="327">
        <v>7165</v>
      </c>
      <c r="N8" s="327">
        <v>7594</v>
      </c>
      <c r="O8" s="327">
        <v>8044</v>
      </c>
      <c r="P8" s="327">
        <v>8526</v>
      </c>
    </row>
    <row r="9" spans="1:16">
      <c r="A9" s="446" t="s">
        <v>179</v>
      </c>
      <c r="B9" s="446"/>
      <c r="C9" s="446"/>
      <c r="D9" s="447"/>
      <c r="E9" s="156" t="s">
        <v>379</v>
      </c>
      <c r="G9" s="379">
        <f>G11*12%</f>
        <v>1028.76</v>
      </c>
      <c r="H9" s="379">
        <f t="shared" ref="H9:K9" si="0">H11*12%</f>
        <v>1298.1599999999999</v>
      </c>
      <c r="I9" s="379">
        <f t="shared" si="0"/>
        <v>1688.52</v>
      </c>
      <c r="J9" s="379">
        <f t="shared" si="0"/>
        <v>2225.7599999999998</v>
      </c>
      <c r="K9" s="379">
        <f t="shared" si="0"/>
        <v>3005.4</v>
      </c>
      <c r="L9" s="327">
        <v>3218</v>
      </c>
      <c r="M9" s="327">
        <v>3477</v>
      </c>
      <c r="N9" s="327">
        <v>3756</v>
      </c>
      <c r="O9" s="327">
        <v>4066</v>
      </c>
      <c r="P9" s="327">
        <v>4391</v>
      </c>
    </row>
    <row r="10" spans="1:16">
      <c r="A10" s="381"/>
      <c r="B10" s="20" t="s">
        <v>478</v>
      </c>
      <c r="C10" s="381"/>
      <c r="D10" s="382"/>
      <c r="G10" s="379">
        <f>SUM(G8+G9)</f>
        <v>5828.76</v>
      </c>
      <c r="H10" s="379">
        <f t="shared" ref="H10:K10" si="1">SUM(H8+H9)</f>
        <v>5998.16</v>
      </c>
      <c r="I10" s="379">
        <f t="shared" si="1"/>
        <v>6888.52</v>
      </c>
      <c r="J10" s="379">
        <f t="shared" si="1"/>
        <v>7825.76</v>
      </c>
      <c r="K10" s="379">
        <f t="shared" si="1"/>
        <v>9205.4</v>
      </c>
      <c r="L10" s="327">
        <f t="shared" ref="L10" si="2">SUM(L8+L9)</f>
        <v>9914</v>
      </c>
      <c r="M10" s="327">
        <f t="shared" ref="M10" si="3">SUM(M8+M9)</f>
        <v>10642</v>
      </c>
      <c r="N10" s="327">
        <f t="shared" ref="N10" si="4">SUM(N8+N9)</f>
        <v>11350</v>
      </c>
      <c r="O10" s="327">
        <f t="shared" ref="O10" si="5">SUM(O8+O9)</f>
        <v>12110</v>
      </c>
      <c r="P10" s="327">
        <f t="shared" ref="P10" si="6">SUM(P8+P9)</f>
        <v>12917</v>
      </c>
    </row>
    <row r="11" spans="1:16" ht="16.5" thickBot="1">
      <c r="A11" s="20" t="s">
        <v>481</v>
      </c>
      <c r="B11" s="298"/>
      <c r="C11" s="298"/>
      <c r="D11" s="337"/>
      <c r="E11" s="298"/>
      <c r="F11" s="298"/>
      <c r="G11" s="385">
        <v>8573</v>
      </c>
      <c r="H11" s="385">
        <v>10818</v>
      </c>
      <c r="I11" s="385">
        <v>14071</v>
      </c>
      <c r="J11" s="385">
        <v>18548</v>
      </c>
      <c r="K11" s="385">
        <v>25045</v>
      </c>
      <c r="L11" s="351">
        <v>28131</v>
      </c>
      <c r="M11" s="351">
        <v>31305</v>
      </c>
      <c r="N11" s="351">
        <v>34717</v>
      </c>
      <c r="O11" s="351">
        <v>37694</v>
      </c>
      <c r="P11" s="351">
        <v>40763</v>
      </c>
    </row>
    <row r="12" spans="1:16" ht="16.5" thickTop="1">
      <c r="G12" s="380"/>
      <c r="H12" s="383"/>
      <c r="I12" s="383"/>
      <c r="J12" s="383"/>
      <c r="K12" s="383"/>
      <c r="L12" s="384"/>
    </row>
    <row r="13" spans="1:16">
      <c r="A13" s="156" t="s">
        <v>482</v>
      </c>
    </row>
    <row r="14" spans="1:16">
      <c r="A14" s="20"/>
    </row>
    <row r="15" spans="1:16">
      <c r="A15" s="20" t="s">
        <v>483</v>
      </c>
    </row>
  </sheetData>
  <mergeCells count="3">
    <mergeCell ref="A6:D6"/>
    <mergeCell ref="A8:D8"/>
    <mergeCell ref="A9:D9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"/>
  <sheetViews>
    <sheetView showGridLines="0" workbookViewId="0">
      <pane ySplit="2" topLeftCell="A9" activePane="bottomLeft" state="frozen"/>
      <selection pane="bottomLeft" activeCell="H18" sqref="H18"/>
    </sheetView>
  </sheetViews>
  <sheetFormatPr defaultColWidth="8.875" defaultRowHeight="15.75"/>
  <cols>
    <col min="1" max="3" width="8.875" style="254"/>
    <col min="4" max="4" width="15.75" style="314" customWidth="1"/>
    <col min="5" max="5" width="8.875" style="254"/>
    <col min="6" max="6" width="9.625" style="254" customWidth="1"/>
    <col min="7" max="9" width="9.375" style="254" bestFit="1" customWidth="1"/>
    <col min="10" max="11" width="10.25" style="254" bestFit="1" customWidth="1"/>
    <col min="12" max="12" width="12.375" style="254" bestFit="1" customWidth="1"/>
    <col min="13" max="16" width="10.625" style="254" bestFit="1" customWidth="1"/>
    <col min="17" max="16384" width="8.875" style="254"/>
  </cols>
  <sheetData>
    <row r="1" spans="1:17">
      <c r="A1" s="254" t="s">
        <v>46</v>
      </c>
    </row>
    <row r="2" spans="1:17" s="315" customFormat="1">
      <c r="D2" s="316"/>
      <c r="G2" s="315">
        <v>1</v>
      </c>
      <c r="H2" s="315">
        <v>2</v>
      </c>
      <c r="I2" s="315">
        <v>3</v>
      </c>
      <c r="J2" s="315">
        <v>4</v>
      </c>
      <c r="K2" s="315">
        <v>5</v>
      </c>
      <c r="L2" s="315">
        <v>6</v>
      </c>
      <c r="M2" s="315">
        <v>7</v>
      </c>
      <c r="N2" s="315">
        <v>8</v>
      </c>
      <c r="O2" s="315">
        <v>9</v>
      </c>
      <c r="P2" s="315">
        <v>10</v>
      </c>
    </row>
    <row r="3" spans="1:17">
      <c r="A3" s="254" t="s">
        <v>1</v>
      </c>
    </row>
    <row r="4" spans="1:17" s="317" customFormat="1">
      <c r="D4" s="358"/>
      <c r="G4" s="317" t="s">
        <v>2</v>
      </c>
      <c r="H4" s="317" t="s">
        <v>3</v>
      </c>
      <c r="I4" s="317" t="s">
        <v>4</v>
      </c>
      <c r="J4" s="317" t="s">
        <v>5</v>
      </c>
      <c r="K4" s="317" t="s">
        <v>6</v>
      </c>
      <c r="L4" s="317" t="s">
        <v>8</v>
      </c>
      <c r="M4" s="317" t="s">
        <v>9</v>
      </c>
      <c r="N4" s="317" t="s">
        <v>10</v>
      </c>
      <c r="O4" s="317" t="s">
        <v>11</v>
      </c>
      <c r="P4" s="317" t="s">
        <v>12</v>
      </c>
      <c r="Q4" s="254" t="s">
        <v>484</v>
      </c>
    </row>
    <row r="5" spans="1:17">
      <c r="A5" s="254" t="s">
        <v>46</v>
      </c>
    </row>
    <row r="6" spans="1:17">
      <c r="G6" s="359"/>
      <c r="H6" s="359"/>
      <c r="I6" s="359"/>
      <c r="J6" s="359"/>
      <c r="K6" s="359"/>
      <c r="L6" s="360"/>
      <c r="M6" s="360"/>
      <c r="N6" s="360"/>
      <c r="O6" s="360"/>
      <c r="P6" s="360"/>
    </row>
    <row r="7" spans="1:17">
      <c r="G7" s="359"/>
      <c r="H7" s="359"/>
      <c r="I7" s="359"/>
      <c r="J7" s="359"/>
      <c r="K7" s="280"/>
      <c r="L7" s="359"/>
      <c r="M7" s="359"/>
      <c r="N7" s="359"/>
      <c r="O7" s="359"/>
      <c r="P7" s="359"/>
    </row>
    <row r="8" spans="1:17">
      <c r="A8" s="254" t="s">
        <v>225</v>
      </c>
      <c r="E8" s="361" t="s">
        <v>178</v>
      </c>
      <c r="G8" s="362">
        <v>6538</v>
      </c>
      <c r="H8" s="362">
        <v>8371</v>
      </c>
      <c r="I8" s="362">
        <v>10841</v>
      </c>
      <c r="J8" s="362">
        <v>14603</v>
      </c>
      <c r="K8" s="362">
        <v>18368</v>
      </c>
      <c r="L8" s="280">
        <v>18382</v>
      </c>
      <c r="M8" s="280">
        <v>17969</v>
      </c>
      <c r="N8" s="280">
        <v>17359</v>
      </c>
      <c r="O8" s="280">
        <v>16324</v>
      </c>
      <c r="P8" s="280">
        <v>14100</v>
      </c>
      <c r="Q8" s="363">
        <v>0.34599999999999997</v>
      </c>
    </row>
    <row r="9" spans="1:17">
      <c r="A9" s="94" t="s">
        <v>487</v>
      </c>
      <c r="E9" s="361" t="s">
        <v>177</v>
      </c>
      <c r="G9" s="364">
        <v>5250</v>
      </c>
      <c r="H9" s="364">
        <v>6720</v>
      </c>
      <c r="I9" s="364">
        <v>8700</v>
      </c>
      <c r="J9" s="364">
        <v>11720</v>
      </c>
      <c r="K9" s="364">
        <v>14680</v>
      </c>
      <c r="L9" s="280">
        <v>14686</v>
      </c>
      <c r="M9" s="280">
        <v>14367</v>
      </c>
      <c r="N9" s="280">
        <v>13887</v>
      </c>
      <c r="O9" s="280">
        <v>13056</v>
      </c>
      <c r="P9" s="280">
        <v>11280</v>
      </c>
    </row>
    <row r="10" spans="1:17">
      <c r="A10" s="94" t="s">
        <v>489</v>
      </c>
      <c r="E10" s="361" t="s">
        <v>177</v>
      </c>
      <c r="G10" s="365">
        <v>950</v>
      </c>
      <c r="H10" s="364">
        <v>1216</v>
      </c>
      <c r="I10" s="364">
        <v>1575</v>
      </c>
      <c r="J10" s="364">
        <v>2122</v>
      </c>
      <c r="K10" s="364">
        <v>2660</v>
      </c>
      <c r="L10" s="280">
        <v>2660</v>
      </c>
      <c r="M10" s="280">
        <v>2602</v>
      </c>
      <c r="N10" s="262">
        <v>2515</v>
      </c>
      <c r="O10" s="280">
        <v>2365</v>
      </c>
      <c r="P10" s="280">
        <v>2043</v>
      </c>
    </row>
    <row r="11" spans="1:17">
      <c r="A11" s="94" t="s">
        <v>488</v>
      </c>
      <c r="E11" s="361" t="s">
        <v>177</v>
      </c>
      <c r="G11" s="365">
        <v>338</v>
      </c>
      <c r="H11" s="365">
        <v>435</v>
      </c>
      <c r="I11" s="365">
        <v>566</v>
      </c>
      <c r="J11" s="365">
        <v>761</v>
      </c>
      <c r="K11" s="364">
        <v>1028</v>
      </c>
      <c r="L11" s="280">
        <v>1036</v>
      </c>
      <c r="M11" s="280">
        <v>1000</v>
      </c>
      <c r="N11" s="94">
        <v>957</v>
      </c>
      <c r="O11" s="94">
        <v>903</v>
      </c>
      <c r="P11" s="94">
        <v>777</v>
      </c>
      <c r="Q11" s="94" t="s">
        <v>490</v>
      </c>
    </row>
    <row r="12" spans="1:17">
      <c r="G12" s="280"/>
      <c r="L12" s="359"/>
    </row>
    <row r="13" spans="1:17">
      <c r="A13" s="254" t="s">
        <v>226</v>
      </c>
      <c r="G13" s="366">
        <v>80</v>
      </c>
      <c r="H13" s="366">
        <v>100</v>
      </c>
      <c r="I13" s="366">
        <v>129</v>
      </c>
      <c r="J13" s="366">
        <v>172</v>
      </c>
      <c r="K13" s="367">
        <v>225</v>
      </c>
      <c r="L13" s="368">
        <v>225</v>
      </c>
      <c r="M13" s="368">
        <v>219</v>
      </c>
      <c r="N13" s="368">
        <v>208</v>
      </c>
      <c r="O13" s="368">
        <v>189</v>
      </c>
      <c r="P13" s="368">
        <v>204</v>
      </c>
    </row>
    <row r="14" spans="1:17">
      <c r="A14" s="94" t="s">
        <v>51</v>
      </c>
      <c r="B14" s="94"/>
      <c r="C14" s="94"/>
      <c r="D14" s="369"/>
      <c r="E14" s="361" t="s">
        <v>177</v>
      </c>
      <c r="G14" s="365">
        <v>55</v>
      </c>
      <c r="H14" s="365">
        <v>69</v>
      </c>
      <c r="I14" s="365">
        <v>89</v>
      </c>
      <c r="J14" s="365">
        <v>118</v>
      </c>
      <c r="K14" s="365">
        <v>164</v>
      </c>
      <c r="L14" s="318">
        <f>(1+'Assumptions '!L17)*'Cost-Built up'!K14</f>
        <v>165.148</v>
      </c>
      <c r="M14" s="318">
        <f>(1+'Assumptions '!M17)*'Cost-Built up'!L14</f>
        <v>166.13888800000001</v>
      </c>
      <c r="N14" s="318">
        <f>(1+'Assumptions '!N17)*'Cost-Built up'!M14</f>
        <v>166.803443552</v>
      </c>
      <c r="O14" s="318">
        <f>(1+'Assumptions '!O17)*'Cost-Built up'!N14</f>
        <v>167.470657326208</v>
      </c>
      <c r="P14" s="318">
        <f>(1+'Assumptions '!P17)*'Cost-Built up'!O14</f>
        <v>167.9730692981866</v>
      </c>
      <c r="Q14" s="363">
        <v>5.0000000000000001E-3</v>
      </c>
    </row>
    <row r="15" spans="1:17">
      <c r="A15" s="94" t="s">
        <v>52</v>
      </c>
      <c r="B15" s="94"/>
      <c r="C15" s="94"/>
      <c r="D15" s="369"/>
      <c r="E15" s="361" t="s">
        <v>177</v>
      </c>
      <c r="G15" s="365">
        <v>12</v>
      </c>
      <c r="H15" s="365">
        <v>18</v>
      </c>
      <c r="I15" s="365">
        <v>24</v>
      </c>
      <c r="J15" s="365">
        <v>33</v>
      </c>
      <c r="K15" s="365">
        <v>45</v>
      </c>
      <c r="L15" s="318">
        <f>(1+'Assumptions '!L18)*'Cost-Built up'!K15</f>
        <v>45.09</v>
      </c>
      <c r="M15" s="318">
        <f>(1+'Assumptions '!M18)*'Cost-Built up'!L15</f>
        <v>45.135089999999998</v>
      </c>
      <c r="N15" s="318">
        <f>(1+'Assumptions '!N18)*'Cost-Built up'!M15</f>
        <v>45.180225089999993</v>
      </c>
      <c r="O15" s="318">
        <f>(1+'Assumptions '!O18)*'Cost-Built up'!N15</f>
        <v>45.225405315089986</v>
      </c>
      <c r="P15" s="318">
        <f>(1+'Assumptions '!P18)*'Cost-Built up'!O15</f>
        <v>45.270630720405073</v>
      </c>
      <c r="Q15" s="370">
        <v>1.2999999999999999E-2</v>
      </c>
    </row>
    <row r="16" spans="1:17">
      <c r="A16" s="94" t="s">
        <v>53</v>
      </c>
      <c r="B16" s="94"/>
      <c r="C16" s="94"/>
      <c r="D16" s="369"/>
      <c r="E16" s="361" t="s">
        <v>177</v>
      </c>
      <c r="G16" s="365">
        <v>12</v>
      </c>
      <c r="H16" s="365">
        <v>13</v>
      </c>
      <c r="I16" s="365">
        <v>16</v>
      </c>
      <c r="J16" s="365">
        <v>21</v>
      </c>
      <c r="K16" s="365">
        <v>31</v>
      </c>
      <c r="L16" s="318">
        <f>(1+'Assumptions '!L19)*'Cost-Built up'!K16</f>
        <v>31.030999999999995</v>
      </c>
      <c r="M16" s="318">
        <f>(1+'Assumptions '!M19)*'Cost-Built up'!L16</f>
        <v>31.06203099999999</v>
      </c>
      <c r="N16" s="318">
        <f>(1+'Assumptions '!N19)*'Cost-Built up'!M16</f>
        <v>31.093093030999988</v>
      </c>
      <c r="O16" s="318">
        <f>(1+'Assumptions '!O19)*'Cost-Built up'!N16</f>
        <v>31.124186124030985</v>
      </c>
      <c r="P16" s="318">
        <f>(1+'Assumptions '!P19)*'Cost-Built up'!O16</f>
        <v>31.155310310155013</v>
      </c>
    </row>
    <row r="17" spans="1:18">
      <c r="G17" s="371"/>
      <c r="H17" s="371"/>
      <c r="I17" s="371"/>
      <c r="J17" s="371"/>
      <c r="K17" s="371"/>
    </row>
    <row r="18" spans="1:18">
      <c r="A18" s="254" t="s">
        <v>491</v>
      </c>
      <c r="G18" s="367">
        <v>137</v>
      </c>
      <c r="H18" s="367">
        <v>173</v>
      </c>
      <c r="I18" s="367">
        <v>225</v>
      </c>
      <c r="J18" s="367">
        <v>297</v>
      </c>
      <c r="K18" s="367">
        <v>401</v>
      </c>
      <c r="L18" s="94">
        <v>986</v>
      </c>
      <c r="M18" s="318">
        <f>'Assumptions '!M23*'Revenue-Built-up'!M11</f>
        <v>1095.6750000000002</v>
      </c>
      <c r="N18" s="318">
        <f>'Assumptions '!N23*'Revenue-Built-up'!N11</f>
        <v>1180.3780000000002</v>
      </c>
      <c r="O18" s="318">
        <f>'Assumptions '!O23*'Revenue-Built-up'!O11</f>
        <v>1206.2080000000001</v>
      </c>
      <c r="P18" s="318">
        <f>'Assumptions '!P23*'Revenue-Built-up'!P11</f>
        <v>1263.653</v>
      </c>
      <c r="Q18" s="363">
        <v>3.1E-2</v>
      </c>
    </row>
    <row r="19" spans="1:18">
      <c r="G19" s="371"/>
      <c r="H19" s="371"/>
      <c r="I19" s="371"/>
      <c r="J19" s="371"/>
      <c r="K19" s="371"/>
    </row>
    <row r="20" spans="1:18">
      <c r="A20" s="254" t="s">
        <v>492</v>
      </c>
      <c r="E20" s="372" t="s">
        <v>222</v>
      </c>
      <c r="G20" s="367">
        <v>349</v>
      </c>
      <c r="H20" s="367">
        <v>441</v>
      </c>
      <c r="I20" s="367">
        <v>573</v>
      </c>
      <c r="J20" s="367">
        <v>754</v>
      </c>
      <c r="K20" s="367">
        <v>951</v>
      </c>
      <c r="L20" s="280">
        <v>1294</v>
      </c>
      <c r="M20" s="280">
        <v>1378</v>
      </c>
      <c r="N20" s="280">
        <v>1458</v>
      </c>
      <c r="O20" s="280">
        <v>1508</v>
      </c>
      <c r="P20" s="280">
        <v>1547</v>
      </c>
      <c r="Q20" s="363">
        <v>3.7999999999999999E-2</v>
      </c>
    </row>
    <row r="21" spans="1:18">
      <c r="A21" s="94" t="s">
        <v>55</v>
      </c>
      <c r="B21" s="94"/>
      <c r="C21" s="94"/>
      <c r="D21" s="369"/>
      <c r="E21" s="372" t="s">
        <v>222</v>
      </c>
      <c r="G21" s="365">
        <v>163</v>
      </c>
      <c r="H21" s="365">
        <v>195</v>
      </c>
      <c r="I21" s="365">
        <v>253</v>
      </c>
      <c r="J21" s="367">
        <v>334</v>
      </c>
      <c r="K21" s="365">
        <v>426</v>
      </c>
      <c r="L21" s="318">
        <f>'Assumptions '!L22*'Revenue-Built-up'!L11</f>
        <v>450.096</v>
      </c>
      <c r="M21" s="318">
        <f>'Assumptions '!M22*'Revenue-Built-up'!M11</f>
        <v>469.57499999999999</v>
      </c>
      <c r="N21" s="318">
        <f>'Assumptions '!N22*'Revenue-Built-up'!N11</f>
        <v>486.03800000000001</v>
      </c>
      <c r="O21" s="318">
        <f>'Assumptions '!O22*'Revenue-Built-up'!O11</f>
        <v>490.02199999999999</v>
      </c>
      <c r="P21" s="318">
        <f>'Assumptions '!P22*'Revenue-Built-up'!P11</f>
        <v>529.91899999999998</v>
      </c>
      <c r="Q21" s="363">
        <v>1.2999999999999999E-2</v>
      </c>
    </row>
    <row r="22" spans="1:18">
      <c r="A22" s="94" t="s">
        <v>56</v>
      </c>
      <c r="B22" s="94"/>
      <c r="C22" s="94"/>
      <c r="D22" s="369"/>
      <c r="E22" s="372" t="s">
        <v>222</v>
      </c>
      <c r="G22" s="365">
        <v>137</v>
      </c>
      <c r="H22" s="365">
        <v>173</v>
      </c>
      <c r="I22" s="365">
        <v>225</v>
      </c>
      <c r="J22" s="365">
        <v>297</v>
      </c>
      <c r="K22" s="365">
        <v>401</v>
      </c>
      <c r="L22" s="318">
        <v>422</v>
      </c>
      <c r="M22" s="318">
        <v>438</v>
      </c>
      <c r="N22" s="318">
        <v>486</v>
      </c>
      <c r="O22" s="318">
        <v>490</v>
      </c>
      <c r="P22" s="318">
        <v>530</v>
      </c>
      <c r="Q22" s="363">
        <v>1.2999999999999999E-2</v>
      </c>
    </row>
    <row r="23" spans="1:18">
      <c r="A23" s="94" t="s">
        <v>57</v>
      </c>
      <c r="B23" s="94"/>
      <c r="C23" s="94"/>
      <c r="D23" s="369"/>
      <c r="E23" s="372" t="s">
        <v>222</v>
      </c>
      <c r="G23" s="365">
        <v>51</v>
      </c>
      <c r="H23" s="365">
        <v>65</v>
      </c>
      <c r="I23" s="365">
        <v>84</v>
      </c>
      <c r="J23" s="365">
        <v>111</v>
      </c>
      <c r="K23" s="365">
        <v>125</v>
      </c>
      <c r="L23" s="318">
        <f>'Assumptions '!L25*'Revenue-Built-up'!L11</f>
        <v>140.655</v>
      </c>
      <c r="M23" s="318">
        <f>'Assumptions '!M25*'Revenue-Built-up'!M11</f>
        <v>156.52500000000001</v>
      </c>
      <c r="N23" s="318">
        <f>'Assumptions '!N25*'Revenue-Built-up'!N11</f>
        <v>173.58500000000001</v>
      </c>
      <c r="O23" s="318">
        <f>'Assumptions '!O25*'Revenue-Built-up'!O11</f>
        <v>188.47</v>
      </c>
      <c r="P23" s="318">
        <f>'Assumptions '!P25*'Revenue-Built-up'!P11</f>
        <v>163.05199999999999</v>
      </c>
      <c r="Q23" s="363">
        <v>4.0000000000000001E-3</v>
      </c>
    </row>
    <row r="24" spans="1:18">
      <c r="A24" s="94" t="s">
        <v>58</v>
      </c>
      <c r="B24" s="94"/>
      <c r="C24" s="94"/>
      <c r="D24" s="369"/>
      <c r="E24" s="372" t="s">
        <v>222</v>
      </c>
      <c r="G24" s="365">
        <v>43</v>
      </c>
      <c r="H24" s="365">
        <v>65</v>
      </c>
      <c r="I24" s="365">
        <v>84</v>
      </c>
      <c r="J24" s="365">
        <v>111</v>
      </c>
      <c r="K24" s="365">
        <v>125</v>
      </c>
      <c r="L24" s="318">
        <f>'Assumptions '!L26*'Revenue-Built-up'!L11</f>
        <v>168.786</v>
      </c>
      <c r="M24" s="318">
        <f>'Assumptions '!M26*'Revenue-Built-up'!M11</f>
        <v>187.83</v>
      </c>
      <c r="N24" s="318">
        <f>'Assumptions '!N26*'Revenue-Built-up'!N11</f>
        <v>208.30199999999999</v>
      </c>
      <c r="O24" s="318">
        <f>'Assumptions '!O26*'Revenue-Built-up'!O11</f>
        <v>263.858</v>
      </c>
      <c r="P24" s="318">
        <f>'Assumptions '!P26*'Revenue-Built-up'!P11</f>
        <v>285.34100000000001</v>
      </c>
      <c r="Q24" s="363">
        <v>7.0000000000000001E-3</v>
      </c>
    </row>
    <row r="25" spans="1:18">
      <c r="A25" s="254" t="s">
        <v>493</v>
      </c>
      <c r="G25" s="373">
        <f>SUM(G13+G18+G20)</f>
        <v>566</v>
      </c>
      <c r="H25" s="373">
        <f t="shared" ref="H25:P25" si="0">SUM(H13+H18+H20)</f>
        <v>714</v>
      </c>
      <c r="I25" s="373">
        <f t="shared" si="0"/>
        <v>927</v>
      </c>
      <c r="J25" s="373">
        <f t="shared" si="0"/>
        <v>1223</v>
      </c>
      <c r="K25" s="373">
        <f t="shared" si="0"/>
        <v>1577</v>
      </c>
      <c r="L25" s="319">
        <f t="shared" si="0"/>
        <v>2505</v>
      </c>
      <c r="M25" s="319">
        <f t="shared" si="0"/>
        <v>2692.6750000000002</v>
      </c>
      <c r="N25" s="319">
        <f t="shared" si="0"/>
        <v>2846.3780000000002</v>
      </c>
      <c r="O25" s="319">
        <f t="shared" si="0"/>
        <v>2903.2080000000001</v>
      </c>
      <c r="P25" s="319">
        <f t="shared" si="0"/>
        <v>3014.6530000000002</v>
      </c>
      <c r="R25" s="94" t="s">
        <v>494</v>
      </c>
    </row>
    <row r="26" spans="1:18">
      <c r="A26" s="254" t="s">
        <v>253</v>
      </c>
      <c r="G26" s="365">
        <v>1469</v>
      </c>
      <c r="H26" s="365">
        <v>1733</v>
      </c>
      <c r="I26" s="365">
        <v>2303</v>
      </c>
      <c r="J26" s="365">
        <v>2722</v>
      </c>
      <c r="K26" s="365">
        <v>5100</v>
      </c>
      <c r="L26" s="280">
        <v>7244</v>
      </c>
      <c r="M26" s="280">
        <v>10643</v>
      </c>
      <c r="N26" s="280">
        <v>14512</v>
      </c>
      <c r="O26" s="280">
        <v>18467</v>
      </c>
      <c r="P26" s="280">
        <v>23648</v>
      </c>
    </row>
    <row r="27" spans="1:18">
      <c r="G27" s="363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4"/>
  <sheetViews>
    <sheetView showGridLines="0" topLeftCell="A7" zoomScale="90" zoomScaleNormal="90" workbookViewId="0">
      <selection activeCell="E25" sqref="E25"/>
    </sheetView>
  </sheetViews>
  <sheetFormatPr defaultColWidth="8.875" defaultRowHeight="15.75"/>
  <cols>
    <col min="1" max="2" width="8.875" style="156"/>
    <col min="3" max="3" width="8.875" style="156" customWidth="1"/>
    <col min="4" max="4" width="21.875" style="320" customWidth="1"/>
    <col min="5" max="5" width="13.375" style="156" customWidth="1"/>
    <col min="6" max="6" width="1.375" style="156" customWidth="1"/>
    <col min="7" max="7" width="10.625" style="156" customWidth="1"/>
    <col min="8" max="11" width="11.375" style="156" bestFit="1" customWidth="1"/>
    <col min="12" max="12" width="12" style="156" bestFit="1" customWidth="1"/>
    <col min="13" max="16" width="13.875" style="156" bestFit="1" customWidth="1"/>
    <col min="17" max="16384" width="8.875" style="156"/>
  </cols>
  <sheetData>
    <row r="1" spans="1:16">
      <c r="A1" s="156" t="s">
        <v>14</v>
      </c>
    </row>
    <row r="2" spans="1:16" s="321" customFormat="1">
      <c r="A2" s="156" t="s">
        <v>1</v>
      </c>
      <c r="D2" s="322"/>
      <c r="G2" s="321">
        <v>1</v>
      </c>
      <c r="H2" s="321">
        <v>2</v>
      </c>
      <c r="I2" s="321">
        <v>3</v>
      </c>
      <c r="J2" s="321">
        <v>4</v>
      </c>
      <c r="K2" s="321">
        <v>5</v>
      </c>
      <c r="L2" s="321">
        <v>6</v>
      </c>
      <c r="M2" s="321">
        <v>7</v>
      </c>
      <c r="N2" s="321">
        <v>8</v>
      </c>
      <c r="O2" s="321">
        <v>9</v>
      </c>
      <c r="P2" s="321">
        <v>10</v>
      </c>
    </row>
    <row r="4" spans="1:16" s="325" customFormat="1">
      <c r="A4" s="323" t="s">
        <v>502</v>
      </c>
      <c r="B4" s="323"/>
      <c r="C4" s="323"/>
      <c r="D4" s="324"/>
      <c r="E4" s="323"/>
      <c r="F4" s="323"/>
      <c r="G4" s="323" t="s">
        <v>2</v>
      </c>
      <c r="H4" s="323" t="s">
        <v>3</v>
      </c>
      <c r="I4" s="323" t="s">
        <v>4</v>
      </c>
      <c r="J4" s="323" t="s">
        <v>5</v>
      </c>
      <c r="K4" s="323" t="s">
        <v>6</v>
      </c>
      <c r="L4" s="323" t="s">
        <v>8</v>
      </c>
      <c r="M4" s="323" t="s">
        <v>9</v>
      </c>
      <c r="N4" s="323" t="s">
        <v>10</v>
      </c>
      <c r="O4" s="323" t="s">
        <v>11</v>
      </c>
      <c r="P4" s="323" t="s">
        <v>12</v>
      </c>
    </row>
    <row r="5" spans="1:16">
      <c r="A5" s="156" t="s">
        <v>15</v>
      </c>
      <c r="G5" s="326">
        <v>8573</v>
      </c>
      <c r="H5" s="326">
        <v>10818</v>
      </c>
      <c r="I5" s="326">
        <v>14071</v>
      </c>
      <c r="J5" s="326">
        <v>18548</v>
      </c>
      <c r="K5" s="326">
        <v>25045</v>
      </c>
      <c r="L5" s="327">
        <f>'Revenue-Built-up'!L11</f>
        <v>28131</v>
      </c>
      <c r="M5" s="327">
        <f>'Revenue-Built-up'!M11</f>
        <v>31305</v>
      </c>
      <c r="N5" s="327">
        <f>'Revenue-Built-up'!N11</f>
        <v>34717</v>
      </c>
      <c r="O5" s="327">
        <f>'Revenue-Built-up'!O11</f>
        <v>37694</v>
      </c>
      <c r="P5" s="327">
        <f>'Revenue-Built-up'!P11</f>
        <v>40763</v>
      </c>
    </row>
    <row r="6" spans="1:16">
      <c r="A6" s="129" t="s">
        <v>17</v>
      </c>
      <c r="G6" s="328"/>
      <c r="H6" s="328">
        <v>0.26179999999999998</v>
      </c>
      <c r="I6" s="328">
        <v>0.30080000000000001</v>
      </c>
      <c r="J6" s="328">
        <v>0.31819999999999998</v>
      </c>
      <c r="K6" s="328">
        <v>0.3503</v>
      </c>
      <c r="L6" s="329">
        <f>'Revenue-Built-up'!L11/'Revenue-Built-up'!K11-1</f>
        <v>0.12321820722699139</v>
      </c>
      <c r="M6" s="329">
        <f>'Revenue-Built-up'!M11/'Revenue-Built-up'!L11-1</f>
        <v>0.11282926309054075</v>
      </c>
      <c r="N6" s="329">
        <f>'Revenue-Built-up'!N11/'Revenue-Built-up'!M11-1</f>
        <v>0.10899217377415749</v>
      </c>
      <c r="O6" s="329">
        <f>'Revenue-Built-up'!O11/'Revenue-Built-up'!N11-1</f>
        <v>8.575049687473002E-2</v>
      </c>
      <c r="P6" s="329">
        <f>'Revenue-Built-up'!P11/'Revenue-Built-up'!O11-1</f>
        <v>8.141879344192704E-2</v>
      </c>
    </row>
    <row r="7" spans="1:16">
      <c r="G7" s="330"/>
      <c r="H7" s="331"/>
      <c r="I7" s="331"/>
      <c r="J7" s="330"/>
      <c r="K7" s="330"/>
      <c r="L7" s="330"/>
      <c r="M7" s="330"/>
      <c r="N7" s="330"/>
      <c r="O7" s="330"/>
      <c r="P7" s="330"/>
    </row>
    <row r="8" spans="1:16">
      <c r="A8" s="129" t="s">
        <v>47</v>
      </c>
      <c r="G8" s="327">
        <f>'Cost-Built up'!G8</f>
        <v>6538</v>
      </c>
      <c r="H8" s="327">
        <f>'Cost-Built up'!H8</f>
        <v>8371</v>
      </c>
      <c r="I8" s="327">
        <f>'Cost-Built up'!I8</f>
        <v>10841</v>
      </c>
      <c r="J8" s="327">
        <f>'Cost-Built up'!J8</f>
        <v>14603</v>
      </c>
      <c r="K8" s="327">
        <f>'Cost-Built up'!K8</f>
        <v>18368</v>
      </c>
      <c r="L8" s="327">
        <f>'Cost-Built up'!L8</f>
        <v>18382</v>
      </c>
      <c r="M8" s="327">
        <f>'Cost-Built up'!M8</f>
        <v>17969</v>
      </c>
      <c r="N8" s="327">
        <f>'Cost-Built up'!N8</f>
        <v>17359</v>
      </c>
      <c r="O8" s="327">
        <f>'Cost-Built up'!O8</f>
        <v>16324</v>
      </c>
      <c r="P8" s="327">
        <f>'Cost-Built up'!P8</f>
        <v>14100</v>
      </c>
    </row>
    <row r="9" spans="1:16">
      <c r="A9" s="129" t="s">
        <v>223</v>
      </c>
      <c r="G9" s="327">
        <f>'Cost-Built up'!G13</f>
        <v>80</v>
      </c>
      <c r="H9" s="327">
        <f>'Cost-Built up'!H13</f>
        <v>100</v>
      </c>
      <c r="I9" s="327">
        <f>'Cost-Built up'!I13</f>
        <v>129</v>
      </c>
      <c r="J9" s="327">
        <f>'Cost-Built up'!J13</f>
        <v>172</v>
      </c>
      <c r="K9" s="327">
        <f>'Cost-Built up'!K13</f>
        <v>225</v>
      </c>
      <c r="L9" s="327">
        <f>'Cost-Built up'!L13</f>
        <v>225</v>
      </c>
      <c r="M9" s="327">
        <f>'Cost-Built up'!M13</f>
        <v>219</v>
      </c>
      <c r="N9" s="327">
        <f>'Cost-Built up'!N13</f>
        <v>208</v>
      </c>
      <c r="O9" s="327">
        <f>'Cost-Built up'!O13</f>
        <v>189</v>
      </c>
      <c r="P9" s="327">
        <f>'Cost-Built up'!P13</f>
        <v>204</v>
      </c>
    </row>
    <row r="10" spans="1:16">
      <c r="A10" s="129" t="s">
        <v>224</v>
      </c>
      <c r="G10" s="327">
        <f>'Cost-Built up'!G18</f>
        <v>137</v>
      </c>
      <c r="H10" s="327">
        <f>'Cost-Built up'!H18</f>
        <v>173</v>
      </c>
      <c r="I10" s="327">
        <f>'Cost-Built up'!I18</f>
        <v>225</v>
      </c>
      <c r="J10" s="327">
        <f>'Cost-Built up'!J18</f>
        <v>297</v>
      </c>
      <c r="K10" s="327">
        <f>'Cost-Built up'!K18</f>
        <v>401</v>
      </c>
      <c r="L10" s="327">
        <f>'Cost-Built up'!L18</f>
        <v>986</v>
      </c>
      <c r="M10" s="327">
        <f>'Cost-Built up'!M18</f>
        <v>1095.6750000000002</v>
      </c>
      <c r="N10" s="327">
        <f>'Cost-Built up'!N18</f>
        <v>1180.3780000000002</v>
      </c>
      <c r="O10" s="327">
        <f>'Cost-Built up'!O18</f>
        <v>1206.2080000000001</v>
      </c>
      <c r="P10" s="327">
        <f>'Cost-Built up'!P18</f>
        <v>1263.653</v>
      </c>
    </row>
    <row r="11" spans="1:16">
      <c r="A11" s="20" t="s">
        <v>55</v>
      </c>
      <c r="B11" s="20"/>
      <c r="C11" s="20"/>
      <c r="D11" s="209"/>
      <c r="G11" s="327">
        <f>'Cost-Built up'!G21</f>
        <v>163</v>
      </c>
      <c r="H11" s="327">
        <f>'Cost-Built up'!H21</f>
        <v>195</v>
      </c>
      <c r="I11" s="327">
        <f>'Cost-Built up'!I21</f>
        <v>253</v>
      </c>
      <c r="J11" s="327">
        <f>'Cost-Built up'!J21</f>
        <v>334</v>
      </c>
      <c r="K11" s="327">
        <f>'Cost-Built up'!K21</f>
        <v>426</v>
      </c>
      <c r="L11" s="327">
        <f>'Cost-Built up'!L21</f>
        <v>450.096</v>
      </c>
      <c r="M11" s="327">
        <f>'Cost-Built up'!M21</f>
        <v>469.57499999999999</v>
      </c>
      <c r="N11" s="327">
        <f>'Cost-Built up'!N21</f>
        <v>486.03800000000001</v>
      </c>
      <c r="O11" s="327">
        <f>'Cost-Built up'!O21</f>
        <v>490.02199999999999</v>
      </c>
      <c r="P11" s="327">
        <f>'Cost-Built up'!P21</f>
        <v>529.91899999999998</v>
      </c>
    </row>
    <row r="12" spans="1:16">
      <c r="A12" s="20" t="s">
        <v>56</v>
      </c>
      <c r="B12" s="20"/>
      <c r="C12" s="20"/>
      <c r="D12" s="209"/>
      <c r="G12" s="327">
        <f>'Cost-Built up'!G22</f>
        <v>137</v>
      </c>
      <c r="H12" s="327">
        <f>'Cost-Built up'!H22</f>
        <v>173</v>
      </c>
      <c r="I12" s="327">
        <f>'Cost-Built up'!I22</f>
        <v>225</v>
      </c>
      <c r="J12" s="327">
        <f>'Cost-Built up'!J22</f>
        <v>297</v>
      </c>
      <c r="K12" s="327">
        <f>'Cost-Built up'!K22</f>
        <v>401</v>
      </c>
      <c r="L12" s="327">
        <f>'Cost-Built up'!L22</f>
        <v>422</v>
      </c>
      <c r="M12" s="327">
        <f>'Cost-Built up'!M22</f>
        <v>438</v>
      </c>
      <c r="N12" s="327">
        <f>'Cost-Built up'!N22</f>
        <v>486</v>
      </c>
      <c r="O12" s="327">
        <f>'Cost-Built up'!O22</f>
        <v>490</v>
      </c>
      <c r="P12" s="327">
        <f>'Cost-Built up'!P22</f>
        <v>530</v>
      </c>
    </row>
    <row r="13" spans="1:16">
      <c r="A13" s="20" t="s">
        <v>57</v>
      </c>
      <c r="B13" s="20"/>
      <c r="C13" s="20"/>
      <c r="D13" s="209"/>
      <c r="G13" s="327">
        <f>'Cost-Built up'!G23</f>
        <v>51</v>
      </c>
      <c r="H13" s="327">
        <f>'Cost-Built up'!H23</f>
        <v>65</v>
      </c>
      <c r="I13" s="327">
        <f>'Cost-Built up'!I23</f>
        <v>84</v>
      </c>
      <c r="J13" s="327">
        <f>'Cost-Built up'!J23</f>
        <v>111</v>
      </c>
      <c r="K13" s="327">
        <f>'Cost-Built up'!K23</f>
        <v>125</v>
      </c>
      <c r="L13" s="327">
        <f>'Cost-Built up'!L23</f>
        <v>140.655</v>
      </c>
      <c r="M13" s="327">
        <f>'Cost-Built up'!M23</f>
        <v>156.52500000000001</v>
      </c>
      <c r="N13" s="327">
        <f>'Cost-Built up'!N23</f>
        <v>173.58500000000001</v>
      </c>
      <c r="O13" s="327">
        <f>'Cost-Built up'!O23</f>
        <v>188.47</v>
      </c>
      <c r="P13" s="327">
        <f>'Cost-Built up'!P23</f>
        <v>163.05199999999999</v>
      </c>
    </row>
    <row r="14" spans="1:16">
      <c r="A14" s="20" t="s">
        <v>58</v>
      </c>
      <c r="B14" s="20"/>
      <c r="C14" s="20"/>
      <c r="D14" s="209"/>
      <c r="G14" s="327">
        <f>'Cost-Built up'!G24</f>
        <v>43</v>
      </c>
      <c r="H14" s="327">
        <f>'Cost-Built up'!H24</f>
        <v>65</v>
      </c>
      <c r="I14" s="327">
        <f>'Cost-Built up'!I24</f>
        <v>84</v>
      </c>
      <c r="J14" s="327">
        <f>'Cost-Built up'!J24</f>
        <v>111</v>
      </c>
      <c r="K14" s="327">
        <f>'Cost-Built up'!K24</f>
        <v>125</v>
      </c>
      <c r="L14" s="327">
        <f>'Cost-Built up'!L24</f>
        <v>168.786</v>
      </c>
      <c r="M14" s="327">
        <f>'Cost-Built up'!M24</f>
        <v>187.83</v>
      </c>
      <c r="N14" s="327">
        <f>'Cost-Built up'!N24</f>
        <v>208.30199999999999</v>
      </c>
      <c r="O14" s="327">
        <f>'Cost-Built up'!O24</f>
        <v>263.858</v>
      </c>
      <c r="P14" s="327">
        <f>'Cost-Built up'!P24</f>
        <v>285.34100000000001</v>
      </c>
    </row>
    <row r="15" spans="1:16" ht="16.5" thickBot="1">
      <c r="A15" s="298" t="s">
        <v>267</v>
      </c>
      <c r="B15" s="306"/>
      <c r="C15" s="306"/>
      <c r="D15" s="333"/>
      <c r="E15" s="298"/>
      <c r="F15" s="298"/>
      <c r="G15" s="351">
        <f t="shared" ref="G15:P15" si="0">SUM(G8+G9+G10+G11+G12+G13+G14)</f>
        <v>7149</v>
      </c>
      <c r="H15" s="351">
        <f t="shared" si="0"/>
        <v>9142</v>
      </c>
      <c r="I15" s="351">
        <f t="shared" si="0"/>
        <v>11841</v>
      </c>
      <c r="J15" s="351">
        <f t="shared" si="0"/>
        <v>15925</v>
      </c>
      <c r="K15" s="351">
        <f t="shared" si="0"/>
        <v>20071</v>
      </c>
      <c r="L15" s="351">
        <f t="shared" si="0"/>
        <v>20774.537</v>
      </c>
      <c r="M15" s="351">
        <f t="shared" si="0"/>
        <v>20535.605000000003</v>
      </c>
      <c r="N15" s="351">
        <f t="shared" si="0"/>
        <v>20101.303</v>
      </c>
      <c r="O15" s="351">
        <f t="shared" si="0"/>
        <v>19151.558000000001</v>
      </c>
      <c r="P15" s="351">
        <f t="shared" si="0"/>
        <v>17075.965</v>
      </c>
    </row>
    <row r="16" spans="1:16" ht="16.5" thickTop="1">
      <c r="A16" s="161" t="s">
        <v>268</v>
      </c>
      <c r="B16" s="20"/>
      <c r="G16" s="352">
        <f>G5-G15</f>
        <v>1424</v>
      </c>
      <c r="H16" s="352">
        <f t="shared" ref="H16:P16" si="1">H5-H15</f>
        <v>1676</v>
      </c>
      <c r="I16" s="352">
        <f t="shared" si="1"/>
        <v>2230</v>
      </c>
      <c r="J16" s="352">
        <f t="shared" si="1"/>
        <v>2623</v>
      </c>
      <c r="K16" s="352">
        <f t="shared" si="1"/>
        <v>4974</v>
      </c>
      <c r="L16" s="352">
        <f t="shared" si="1"/>
        <v>7356.4629999999997</v>
      </c>
      <c r="M16" s="352">
        <f t="shared" si="1"/>
        <v>10769.394999999997</v>
      </c>
      <c r="N16" s="352">
        <f t="shared" si="1"/>
        <v>14615.697</v>
      </c>
      <c r="O16" s="352">
        <f t="shared" si="1"/>
        <v>18542.441999999999</v>
      </c>
      <c r="P16" s="352">
        <f t="shared" si="1"/>
        <v>23687.035</v>
      </c>
    </row>
    <row r="17" spans="1:16">
      <c r="A17" s="20" t="s">
        <v>503</v>
      </c>
      <c r="E17" s="20" t="s">
        <v>495</v>
      </c>
      <c r="G17" s="335">
        <f>G16/G5</f>
        <v>0.16610288113845795</v>
      </c>
      <c r="H17" s="335">
        <f t="shared" ref="H17:P17" si="2">H16/H5</f>
        <v>0.15492697356258089</v>
      </c>
      <c r="I17" s="335">
        <f t="shared" si="2"/>
        <v>0.15848198422286974</v>
      </c>
      <c r="J17" s="335">
        <f t="shared" si="2"/>
        <v>0.14141686435195169</v>
      </c>
      <c r="K17" s="335">
        <f t="shared" si="2"/>
        <v>0.19860251547215013</v>
      </c>
      <c r="L17" s="335">
        <f t="shared" si="2"/>
        <v>0.26150734065621556</v>
      </c>
      <c r="M17" s="335">
        <f t="shared" si="2"/>
        <v>0.3440151732950007</v>
      </c>
      <c r="N17" s="335">
        <f t="shared" si="2"/>
        <v>0.42099539130685254</v>
      </c>
      <c r="O17" s="335">
        <f t="shared" si="2"/>
        <v>0.49192025256008909</v>
      </c>
      <c r="P17" s="335">
        <f t="shared" si="2"/>
        <v>0.5810915536147977</v>
      </c>
    </row>
    <row r="18" spans="1:16">
      <c r="A18" s="129" t="s">
        <v>18</v>
      </c>
      <c r="G18" s="327">
        <v>45</v>
      </c>
      <c r="H18" s="327">
        <v>38</v>
      </c>
      <c r="I18" s="327">
        <v>72</v>
      </c>
      <c r="J18" s="327">
        <v>74</v>
      </c>
      <c r="K18" s="327">
        <v>144</v>
      </c>
      <c r="L18" s="327">
        <v>650</v>
      </c>
      <c r="M18" s="327">
        <v>1000</v>
      </c>
      <c r="N18" s="327">
        <v>1400</v>
      </c>
      <c r="O18" s="327">
        <v>1800</v>
      </c>
      <c r="P18" s="327">
        <v>2200</v>
      </c>
    </row>
    <row r="19" spans="1:16" ht="16.5" thickBot="1">
      <c r="A19" s="336" t="s">
        <v>505</v>
      </c>
      <c r="B19" s="298"/>
      <c r="C19" s="298"/>
      <c r="D19" s="337"/>
      <c r="E19" s="298"/>
      <c r="F19" s="298"/>
      <c r="G19" s="351">
        <f>G16+G18</f>
        <v>1469</v>
      </c>
      <c r="H19" s="351">
        <f t="shared" ref="H19:P19" si="3">H16+H18</f>
        <v>1714</v>
      </c>
      <c r="I19" s="351">
        <f t="shared" si="3"/>
        <v>2302</v>
      </c>
      <c r="J19" s="351">
        <f t="shared" si="3"/>
        <v>2697</v>
      </c>
      <c r="K19" s="351">
        <f t="shared" si="3"/>
        <v>5118</v>
      </c>
      <c r="L19" s="351">
        <f t="shared" si="3"/>
        <v>8006.4629999999997</v>
      </c>
      <c r="M19" s="351">
        <f t="shared" si="3"/>
        <v>11769.394999999997</v>
      </c>
      <c r="N19" s="351">
        <f t="shared" si="3"/>
        <v>16015.697</v>
      </c>
      <c r="O19" s="351">
        <f t="shared" si="3"/>
        <v>20342.441999999999</v>
      </c>
      <c r="P19" s="351">
        <f t="shared" si="3"/>
        <v>25887.035</v>
      </c>
    </row>
    <row r="20" spans="1:16" ht="16.5" thickTop="1">
      <c r="A20" s="129" t="s">
        <v>19</v>
      </c>
      <c r="G20" s="353">
        <v>405</v>
      </c>
      <c r="H20" s="353">
        <v>360</v>
      </c>
      <c r="I20" s="353">
        <v>353</v>
      </c>
      <c r="J20" s="353">
        <v>379</v>
      </c>
      <c r="K20" s="353">
        <v>422</v>
      </c>
      <c r="L20" s="353">
        <v>380</v>
      </c>
      <c r="M20" s="327">
        <v>340</v>
      </c>
      <c r="N20" s="327">
        <v>300</v>
      </c>
      <c r="O20" s="327">
        <v>260</v>
      </c>
      <c r="P20" s="327">
        <v>220</v>
      </c>
    </row>
    <row r="21" spans="1:16">
      <c r="A21" s="129" t="s">
        <v>20</v>
      </c>
      <c r="E21" s="20"/>
      <c r="G21" s="353">
        <v>225</v>
      </c>
      <c r="H21" s="353">
        <v>232</v>
      </c>
      <c r="I21" s="353">
        <v>245</v>
      </c>
      <c r="J21" s="353">
        <v>274</v>
      </c>
      <c r="K21" s="353">
        <v>343</v>
      </c>
      <c r="L21" s="353">
        <v>380</v>
      </c>
      <c r="M21" s="327">
        <v>400</v>
      </c>
      <c r="N21" s="327">
        <v>410</v>
      </c>
      <c r="O21" s="327">
        <v>410</v>
      </c>
      <c r="P21" s="327">
        <v>410</v>
      </c>
    </row>
    <row r="22" spans="1:16" ht="16.5" thickBot="1">
      <c r="A22" s="336" t="s">
        <v>269</v>
      </c>
      <c r="B22" s="298"/>
      <c r="C22" s="306" t="s">
        <v>496</v>
      </c>
      <c r="D22" s="337"/>
      <c r="E22" s="298"/>
      <c r="F22" s="298"/>
      <c r="G22" s="354">
        <f>G19-G20-G21</f>
        <v>839</v>
      </c>
      <c r="H22" s="354">
        <f t="shared" ref="H22:P22" si="4">H19-H20-H21</f>
        <v>1122</v>
      </c>
      <c r="I22" s="354">
        <f t="shared" si="4"/>
        <v>1704</v>
      </c>
      <c r="J22" s="354">
        <f t="shared" si="4"/>
        <v>2044</v>
      </c>
      <c r="K22" s="354">
        <f t="shared" si="4"/>
        <v>4353</v>
      </c>
      <c r="L22" s="354">
        <f t="shared" si="4"/>
        <v>7246.4629999999997</v>
      </c>
      <c r="M22" s="354">
        <f t="shared" si="4"/>
        <v>11029.394999999997</v>
      </c>
      <c r="N22" s="354">
        <f t="shared" si="4"/>
        <v>15305.697</v>
      </c>
      <c r="O22" s="354">
        <f t="shared" si="4"/>
        <v>19672.441999999999</v>
      </c>
      <c r="P22" s="354">
        <f t="shared" si="4"/>
        <v>25257.035</v>
      </c>
    </row>
    <row r="23" spans="1:16" ht="16.5" thickTop="1">
      <c r="A23" s="129" t="s">
        <v>497</v>
      </c>
      <c r="C23" s="20"/>
      <c r="G23" s="355">
        <f>G22*G24</f>
        <v>211.428</v>
      </c>
      <c r="H23" s="355">
        <f t="shared" ref="H23:P23" si="5">H22*H24</f>
        <v>282.74400000000003</v>
      </c>
      <c r="I23" s="355">
        <f t="shared" si="5"/>
        <v>429.40800000000002</v>
      </c>
      <c r="J23" s="355">
        <f t="shared" si="5"/>
        <v>515.08799999999997</v>
      </c>
      <c r="K23" s="355">
        <f t="shared" si="5"/>
        <v>1096.9559999999999</v>
      </c>
      <c r="L23" s="355">
        <f t="shared" si="5"/>
        <v>1826.1086760000001</v>
      </c>
      <c r="M23" s="355">
        <f t="shared" si="5"/>
        <v>2779.4075399999992</v>
      </c>
      <c r="N23" s="355">
        <f t="shared" si="5"/>
        <v>3857.035644</v>
      </c>
      <c r="O23" s="355">
        <f t="shared" si="5"/>
        <v>4957.4553839999999</v>
      </c>
      <c r="P23" s="355">
        <f t="shared" si="5"/>
        <v>6364.7728200000001</v>
      </c>
    </row>
    <row r="24" spans="1:16">
      <c r="A24" s="129" t="s">
        <v>21</v>
      </c>
      <c r="G24" s="338">
        <v>0.252</v>
      </c>
      <c r="H24" s="338">
        <v>0.252</v>
      </c>
      <c r="I24" s="338">
        <v>0.252</v>
      </c>
      <c r="J24" s="338">
        <v>0.252</v>
      </c>
      <c r="K24" s="338">
        <v>0.252</v>
      </c>
      <c r="L24" s="338">
        <v>0.252</v>
      </c>
      <c r="M24" s="339">
        <v>0.252</v>
      </c>
      <c r="N24" s="339">
        <v>0.252</v>
      </c>
      <c r="O24" s="339">
        <v>0.252</v>
      </c>
      <c r="P24" s="339">
        <v>0.252</v>
      </c>
    </row>
    <row r="25" spans="1:16" ht="16.5" thickBot="1">
      <c r="A25" s="336" t="s">
        <v>504</v>
      </c>
      <c r="B25" s="298"/>
      <c r="C25" s="298"/>
      <c r="D25" s="337"/>
      <c r="E25" s="298"/>
      <c r="F25" s="298"/>
      <c r="G25" s="354">
        <f>G22-G23</f>
        <v>627.572</v>
      </c>
      <c r="H25" s="354">
        <f t="shared" ref="H25:P25" si="6">H22-H23</f>
        <v>839.25599999999997</v>
      </c>
      <c r="I25" s="354">
        <f t="shared" si="6"/>
        <v>1274.5920000000001</v>
      </c>
      <c r="J25" s="354">
        <f t="shared" si="6"/>
        <v>1528.912</v>
      </c>
      <c r="K25" s="354">
        <f t="shared" si="6"/>
        <v>3256.0439999999999</v>
      </c>
      <c r="L25" s="354">
        <f t="shared" si="6"/>
        <v>5420.3543239999999</v>
      </c>
      <c r="M25" s="354">
        <f t="shared" si="6"/>
        <v>8249.9874599999966</v>
      </c>
      <c r="N25" s="354">
        <f t="shared" si="6"/>
        <v>11448.661356000001</v>
      </c>
      <c r="O25" s="354">
        <f t="shared" si="6"/>
        <v>14714.986615999998</v>
      </c>
      <c r="P25" s="354">
        <f t="shared" si="6"/>
        <v>18892.262179999998</v>
      </c>
    </row>
    <row r="26" spans="1:16" ht="16.5" thickTop="1">
      <c r="A26" s="129" t="s">
        <v>250</v>
      </c>
      <c r="G26" s="340">
        <f>G25/G5</f>
        <v>7.3203312726000239E-2</v>
      </c>
      <c r="H26" s="340">
        <f t="shared" ref="H26:P26" si="7">H25/H5</f>
        <v>7.7579589572933996E-2</v>
      </c>
      <c r="I26" s="340">
        <f t="shared" si="7"/>
        <v>9.0582901002060984E-2</v>
      </c>
      <c r="J26" s="340">
        <f t="shared" si="7"/>
        <v>8.2430019409100719E-2</v>
      </c>
      <c r="K26" s="340">
        <f t="shared" si="7"/>
        <v>0.13000774605709722</v>
      </c>
      <c r="L26" s="340">
        <f t="shared" si="7"/>
        <v>0.19268260367566031</v>
      </c>
      <c r="M26" s="340">
        <f t="shared" si="7"/>
        <v>0.26353577575467169</v>
      </c>
      <c r="N26" s="340">
        <f t="shared" si="7"/>
        <v>0.32977104461791057</v>
      </c>
      <c r="O26" s="340">
        <f t="shared" si="7"/>
        <v>0.39038007682920356</v>
      </c>
      <c r="P26" s="340">
        <f t="shared" si="7"/>
        <v>0.46346594166278238</v>
      </c>
    </row>
    <row r="27" spans="1:16">
      <c r="A27" s="129" t="s">
        <v>22</v>
      </c>
      <c r="G27" s="341">
        <v>0</v>
      </c>
      <c r="H27" s="341">
        <v>0</v>
      </c>
      <c r="I27" s="342">
        <v>1</v>
      </c>
      <c r="J27" s="341">
        <v>1</v>
      </c>
      <c r="K27" s="341">
        <v>1</v>
      </c>
      <c r="L27" s="343">
        <v>0</v>
      </c>
      <c r="M27" s="343">
        <v>0</v>
      </c>
      <c r="N27" s="343">
        <v>0</v>
      </c>
      <c r="O27" s="343">
        <v>0</v>
      </c>
      <c r="P27" s="343">
        <v>0</v>
      </c>
    </row>
    <row r="28" spans="1:16" ht="16.5" thickBot="1">
      <c r="A28" s="298" t="s">
        <v>498</v>
      </c>
      <c r="B28" s="298"/>
      <c r="C28" s="298"/>
      <c r="D28" s="337"/>
      <c r="E28" s="298"/>
      <c r="F28" s="298"/>
      <c r="G28" s="356">
        <f>G25-G27</f>
        <v>627.572</v>
      </c>
      <c r="H28" s="356">
        <f t="shared" ref="H28:P28" si="8">H25-H27</f>
        <v>839.25599999999997</v>
      </c>
      <c r="I28" s="356">
        <f t="shared" si="8"/>
        <v>1273.5920000000001</v>
      </c>
      <c r="J28" s="356">
        <f t="shared" si="8"/>
        <v>1527.912</v>
      </c>
      <c r="K28" s="356">
        <f t="shared" si="8"/>
        <v>3255.0439999999999</v>
      </c>
      <c r="L28" s="357">
        <f t="shared" si="8"/>
        <v>5420.3543239999999</v>
      </c>
      <c r="M28" s="354">
        <f t="shared" si="8"/>
        <v>8249.9874599999966</v>
      </c>
      <c r="N28" s="354">
        <f t="shared" si="8"/>
        <v>11448.661356000001</v>
      </c>
      <c r="O28" s="354">
        <f t="shared" si="8"/>
        <v>14714.986615999998</v>
      </c>
      <c r="P28" s="354">
        <f t="shared" si="8"/>
        <v>18892.262179999998</v>
      </c>
    </row>
    <row r="29" spans="1:16" ht="16.5" thickTop="1">
      <c r="A29" s="129" t="s">
        <v>23</v>
      </c>
      <c r="G29" s="20">
        <v>6.1</v>
      </c>
      <c r="H29" s="20">
        <v>8.16</v>
      </c>
      <c r="I29" s="20">
        <v>12.37</v>
      </c>
      <c r="J29" s="20">
        <v>14.84</v>
      </c>
      <c r="K29" s="20">
        <v>31.61</v>
      </c>
      <c r="L29" s="20">
        <v>526</v>
      </c>
      <c r="M29" s="20">
        <v>526</v>
      </c>
      <c r="N29" s="189">
        <v>1112</v>
      </c>
      <c r="O29" s="189">
        <v>1429</v>
      </c>
      <c r="P29" s="189">
        <v>1835</v>
      </c>
    </row>
    <row r="30" spans="1:16">
      <c r="A30" s="20" t="s">
        <v>499</v>
      </c>
    </row>
    <row r="31" spans="1:16" ht="16.5" thickBot="1">
      <c r="A31" s="306" t="s">
        <v>500</v>
      </c>
      <c r="B31" s="298"/>
      <c r="C31" s="298"/>
      <c r="D31" s="337"/>
      <c r="E31" s="298"/>
      <c r="F31" s="298"/>
      <c r="G31" s="344">
        <v>0</v>
      </c>
      <c r="H31" s="344">
        <v>0</v>
      </c>
      <c r="I31" s="344">
        <v>0</v>
      </c>
      <c r="J31" s="344">
        <v>0</v>
      </c>
      <c r="K31" s="344">
        <v>0</v>
      </c>
      <c r="L31" s="344">
        <v>0</v>
      </c>
      <c r="M31" s="298">
        <v>0</v>
      </c>
      <c r="N31" s="345">
        <v>0.1</v>
      </c>
      <c r="O31" s="345">
        <v>0.25</v>
      </c>
      <c r="P31" s="345">
        <v>0.25</v>
      </c>
    </row>
    <row r="32" spans="1:16" ht="16.5" thickTop="1">
      <c r="A32" s="20" t="s">
        <v>501</v>
      </c>
      <c r="G32" s="156">
        <v>0</v>
      </c>
      <c r="H32" s="156">
        <v>0</v>
      </c>
      <c r="I32" s="156">
        <v>0</v>
      </c>
      <c r="J32" s="156">
        <v>0</v>
      </c>
      <c r="K32" s="156">
        <v>0</v>
      </c>
      <c r="L32" s="156">
        <v>0</v>
      </c>
      <c r="M32" s="156">
        <v>0</v>
      </c>
      <c r="N32" s="156">
        <v>1.1100000000000001</v>
      </c>
      <c r="O32" s="156">
        <v>3.57</v>
      </c>
      <c r="P32" s="156">
        <v>4.59</v>
      </c>
    </row>
    <row r="34" spans="1:16">
      <c r="A34" s="346"/>
      <c r="B34" s="346"/>
      <c r="C34" s="346"/>
      <c r="D34" s="347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9"/>
  <sheetViews>
    <sheetView showGridLines="0" topLeftCell="A7" workbookViewId="0">
      <selection activeCell="J11" sqref="J11"/>
    </sheetView>
  </sheetViews>
  <sheetFormatPr defaultColWidth="8.875" defaultRowHeight="15.75"/>
  <cols>
    <col min="1" max="4" width="8.875" style="156"/>
    <col min="5" max="5" width="18.25" style="320" customWidth="1"/>
    <col min="6" max="6" width="11.25" style="156" bestFit="1" customWidth="1"/>
    <col min="7" max="7" width="15" style="156" customWidth="1"/>
    <col min="8" max="10" width="12.625" style="156" bestFit="1" customWidth="1"/>
    <col min="11" max="11" width="13.875" style="156" customWidth="1"/>
    <col min="12" max="15" width="12.625" style="156" bestFit="1" customWidth="1"/>
    <col min="16" max="16384" width="8.875" style="156"/>
  </cols>
  <sheetData>
    <row r="1" spans="1:15">
      <c r="A1" s="156" t="s">
        <v>31</v>
      </c>
    </row>
    <row r="2" spans="1:15" s="321" customFormat="1">
      <c r="E2" s="322"/>
      <c r="F2" s="321">
        <v>1</v>
      </c>
      <c r="G2" s="321">
        <v>2</v>
      </c>
      <c r="H2" s="321">
        <v>3</v>
      </c>
      <c r="I2" s="321">
        <v>4</v>
      </c>
      <c r="J2" s="321">
        <v>5</v>
      </c>
      <c r="K2" s="321">
        <v>6</v>
      </c>
      <c r="L2" s="321">
        <v>7</v>
      </c>
      <c r="M2" s="321">
        <v>8</v>
      </c>
      <c r="N2" s="321">
        <v>9</v>
      </c>
      <c r="O2" s="321">
        <v>10</v>
      </c>
    </row>
    <row r="3" spans="1:15">
      <c r="A3" s="156" t="s">
        <v>1</v>
      </c>
    </row>
    <row r="4" spans="1:15" s="325" customFormat="1" ht="16.5" thickBot="1">
      <c r="A4" s="412" t="s">
        <v>507</v>
      </c>
      <c r="B4" s="412"/>
      <c r="C4" s="412"/>
      <c r="D4" s="413"/>
      <c r="E4" s="414"/>
      <c r="F4" s="412" t="s">
        <v>2</v>
      </c>
      <c r="G4" s="412" t="s">
        <v>3</v>
      </c>
      <c r="H4" s="412" t="s">
        <v>4</v>
      </c>
      <c r="I4" s="412" t="s">
        <v>5</v>
      </c>
      <c r="J4" s="412" t="s">
        <v>6</v>
      </c>
      <c r="K4" s="412" t="s">
        <v>8</v>
      </c>
      <c r="L4" s="412" t="s">
        <v>9</v>
      </c>
      <c r="M4" s="412" t="s">
        <v>10</v>
      </c>
      <c r="N4" s="412" t="s">
        <v>11</v>
      </c>
      <c r="O4" s="412" t="s">
        <v>12</v>
      </c>
    </row>
    <row r="5" spans="1:15">
      <c r="A5" s="161" t="s">
        <v>508</v>
      </c>
    </row>
    <row r="6" spans="1:15">
      <c r="A6" s="129" t="s">
        <v>24</v>
      </c>
      <c r="F6" s="348">
        <v>1030</v>
      </c>
      <c r="G6" s="348">
        <v>1030</v>
      </c>
      <c r="H6" s="348">
        <v>1030</v>
      </c>
      <c r="I6" s="348">
        <v>1030</v>
      </c>
      <c r="J6" s="348">
        <v>1031</v>
      </c>
      <c r="K6" s="327">
        <v>1031</v>
      </c>
      <c r="L6" s="327">
        <v>1031</v>
      </c>
      <c r="M6" s="327">
        <v>1031</v>
      </c>
      <c r="N6" s="327">
        <v>1031</v>
      </c>
      <c r="O6" s="327">
        <v>1031</v>
      </c>
    </row>
    <row r="7" spans="1:15">
      <c r="A7" s="129" t="s">
        <v>25</v>
      </c>
      <c r="D7" s="415"/>
      <c r="F7" s="348">
        <v>1796</v>
      </c>
      <c r="G7" s="348">
        <v>2636</v>
      </c>
      <c r="H7" s="326">
        <v>3910</v>
      </c>
      <c r="I7" s="348">
        <v>5439</v>
      </c>
      <c r="J7" s="348">
        <v>8694</v>
      </c>
      <c r="K7" s="327">
        <v>14116</v>
      </c>
      <c r="L7" s="327">
        <v>22368</v>
      </c>
      <c r="M7" s="327">
        <v>33822</v>
      </c>
      <c r="N7" s="327">
        <v>48543</v>
      </c>
      <c r="O7" s="327">
        <v>67443</v>
      </c>
    </row>
    <row r="8" spans="1:15" ht="16.5" thickBot="1">
      <c r="A8" s="298" t="s">
        <v>506</v>
      </c>
      <c r="B8" s="298"/>
      <c r="C8" s="298"/>
      <c r="D8" s="298"/>
      <c r="E8" s="298"/>
      <c r="F8" s="351">
        <f>F6+F7</f>
        <v>2826</v>
      </c>
      <c r="G8" s="351">
        <f t="shared" ref="G8:O8" si="0">G6+G7</f>
        <v>3666</v>
      </c>
      <c r="H8" s="351">
        <f t="shared" si="0"/>
        <v>4940</v>
      </c>
      <c r="I8" s="351">
        <f t="shared" si="0"/>
        <v>6469</v>
      </c>
      <c r="J8" s="351">
        <f t="shared" si="0"/>
        <v>9725</v>
      </c>
      <c r="K8" s="351">
        <f t="shared" si="0"/>
        <v>15147</v>
      </c>
      <c r="L8" s="351">
        <f t="shared" si="0"/>
        <v>23399</v>
      </c>
      <c r="M8" s="351">
        <f t="shared" si="0"/>
        <v>34853</v>
      </c>
      <c r="N8" s="351">
        <f t="shared" si="0"/>
        <v>49574</v>
      </c>
      <c r="O8" s="351">
        <f t="shared" si="0"/>
        <v>68474</v>
      </c>
    </row>
    <row r="9" spans="1:15" ht="16.5" thickTop="1">
      <c r="A9" s="156" t="s">
        <v>509</v>
      </c>
      <c r="F9" s="352"/>
      <c r="G9" s="352"/>
      <c r="H9" s="352"/>
      <c r="I9" s="352"/>
      <c r="J9" s="352"/>
      <c r="K9" s="352"/>
      <c r="L9" s="352"/>
      <c r="M9" s="352"/>
      <c r="N9" s="352"/>
      <c r="O9" s="352"/>
    </row>
    <row r="10" spans="1:15">
      <c r="A10" s="20" t="s">
        <v>510</v>
      </c>
      <c r="C10" s="20"/>
      <c r="F10" s="348">
        <v>3198</v>
      </c>
      <c r="G10" s="348">
        <v>3339</v>
      </c>
      <c r="H10" s="348">
        <v>3501</v>
      </c>
      <c r="I10" s="348">
        <v>3317</v>
      </c>
      <c r="J10" s="348">
        <v>3293</v>
      </c>
      <c r="K10" s="327">
        <v>1290</v>
      </c>
      <c r="L10" s="327">
        <v>1290</v>
      </c>
      <c r="M10" s="327">
        <v>1290</v>
      </c>
      <c r="N10" s="327">
        <v>1290</v>
      </c>
      <c r="O10" s="327">
        <v>1290</v>
      </c>
    </row>
    <row r="11" spans="1:15">
      <c r="A11" s="129" t="s">
        <v>511</v>
      </c>
      <c r="F11" s="348">
        <v>666</v>
      </c>
      <c r="G11" s="348">
        <v>787</v>
      </c>
      <c r="H11" s="348">
        <v>1169</v>
      </c>
      <c r="I11" s="348">
        <v>1666</v>
      </c>
      <c r="J11" s="327">
        <v>2163</v>
      </c>
      <c r="K11" s="327">
        <v>2660</v>
      </c>
      <c r="L11" s="327">
        <v>3157</v>
      </c>
      <c r="M11" s="327">
        <f t="shared" ref="M11:N11" si="1">L11+497</f>
        <v>3654</v>
      </c>
      <c r="N11" s="327">
        <f t="shared" si="1"/>
        <v>4151</v>
      </c>
      <c r="O11" s="327">
        <v>4648</v>
      </c>
    </row>
    <row r="12" spans="1:15">
      <c r="A12" s="129" t="s">
        <v>26</v>
      </c>
      <c r="F12" s="326">
        <v>690</v>
      </c>
      <c r="G12" s="326">
        <v>657</v>
      </c>
      <c r="H12" s="348">
        <v>1193</v>
      </c>
      <c r="I12" s="326">
        <v>1944</v>
      </c>
      <c r="J12" s="348">
        <v>2350</v>
      </c>
      <c r="K12" s="327">
        <v>2957</v>
      </c>
      <c r="L12" s="327">
        <v>2995</v>
      </c>
      <c r="M12" s="327">
        <v>2897</v>
      </c>
      <c r="N12" s="327">
        <v>2724</v>
      </c>
      <c r="O12" s="327">
        <v>2350</v>
      </c>
    </row>
    <row r="13" spans="1:15">
      <c r="A13" s="129" t="s">
        <v>27</v>
      </c>
      <c r="F13" s="348">
        <v>1007</v>
      </c>
      <c r="G13" s="348">
        <v>1014</v>
      </c>
      <c r="H13" s="348">
        <v>1464</v>
      </c>
      <c r="I13" s="348">
        <v>2058</v>
      </c>
      <c r="J13" s="348">
        <v>2775</v>
      </c>
      <c r="K13" s="327">
        <v>3094</v>
      </c>
      <c r="L13" s="327">
        <v>3286</v>
      </c>
      <c r="M13" s="327">
        <v>3472</v>
      </c>
      <c r="N13" s="327">
        <v>3582</v>
      </c>
      <c r="O13" s="327">
        <v>3669</v>
      </c>
    </row>
    <row r="14" spans="1:15">
      <c r="A14" s="129" t="s">
        <v>512</v>
      </c>
      <c r="F14" s="348">
        <v>964</v>
      </c>
      <c r="G14" s="326">
        <v>107</v>
      </c>
      <c r="H14" s="326">
        <v>126</v>
      </c>
      <c r="I14" s="348">
        <v>142</v>
      </c>
      <c r="J14" s="348">
        <v>237</v>
      </c>
      <c r="K14" s="327">
        <v>400</v>
      </c>
      <c r="L14" s="327">
        <v>450</v>
      </c>
      <c r="M14" s="327">
        <v>500</v>
      </c>
      <c r="N14" s="327">
        <v>550</v>
      </c>
      <c r="O14" s="327">
        <v>600</v>
      </c>
    </row>
    <row r="15" spans="1:15" ht="16.5" thickBot="1">
      <c r="A15" s="296" t="s">
        <v>28</v>
      </c>
      <c r="B15" s="298"/>
      <c r="C15" s="298"/>
      <c r="D15" s="298"/>
      <c r="E15" s="337"/>
      <c r="F15" s="409">
        <f>SUM(F10:F14)</f>
        <v>6525</v>
      </c>
      <c r="G15" s="409">
        <f t="shared" ref="G15:J15" si="2">SUM(G10:G14)</f>
        <v>5904</v>
      </c>
      <c r="H15" s="409">
        <f t="shared" si="2"/>
        <v>7453</v>
      </c>
      <c r="I15" s="409">
        <f t="shared" si="2"/>
        <v>9127</v>
      </c>
      <c r="J15" s="409">
        <f t="shared" si="2"/>
        <v>10818</v>
      </c>
      <c r="K15" s="409">
        <f t="shared" ref="K15" si="3">SUM(K10:K14)</f>
        <v>10401</v>
      </c>
      <c r="L15" s="409">
        <f t="shared" ref="L15" si="4">SUM(L10:L14)</f>
        <v>11178</v>
      </c>
      <c r="M15" s="409">
        <f t="shared" ref="M15" si="5">SUM(M10:M14)</f>
        <v>11813</v>
      </c>
      <c r="N15" s="409">
        <f t="shared" ref="N15" si="6">SUM(N10:N14)</f>
        <v>12297</v>
      </c>
      <c r="O15" s="409">
        <f>SUM(O10:O14)</f>
        <v>12557</v>
      </c>
    </row>
    <row r="16" spans="1:15" ht="16.5" thickTop="1">
      <c r="A16" s="417" t="s">
        <v>519</v>
      </c>
      <c r="B16" s="418"/>
      <c r="C16" s="418"/>
      <c r="D16" s="418"/>
      <c r="E16" s="416"/>
      <c r="F16" s="419">
        <f>F8+F15</f>
        <v>9351</v>
      </c>
      <c r="G16" s="419">
        <f t="shared" ref="G16:O16" si="7">G8+G15</f>
        <v>9570</v>
      </c>
      <c r="H16" s="419">
        <f t="shared" si="7"/>
        <v>12393</v>
      </c>
      <c r="I16" s="419">
        <f t="shared" si="7"/>
        <v>15596</v>
      </c>
      <c r="J16" s="419">
        <f t="shared" si="7"/>
        <v>20543</v>
      </c>
      <c r="K16" s="419">
        <f t="shared" si="7"/>
        <v>25548</v>
      </c>
      <c r="L16" s="419">
        <f t="shared" si="7"/>
        <v>34577</v>
      </c>
      <c r="M16" s="419">
        <f t="shared" si="7"/>
        <v>46666</v>
      </c>
      <c r="N16" s="419">
        <f t="shared" si="7"/>
        <v>61871</v>
      </c>
      <c r="O16" s="420">
        <f t="shared" si="7"/>
        <v>81031</v>
      </c>
    </row>
    <row r="17" spans="1:15">
      <c r="A17" s="156" t="s">
        <v>513</v>
      </c>
      <c r="B17" s="129"/>
      <c r="F17" s="352"/>
      <c r="G17" s="349"/>
      <c r="H17" s="352"/>
      <c r="I17" s="352"/>
      <c r="J17" s="352"/>
      <c r="K17" s="352"/>
      <c r="L17" s="352"/>
      <c r="M17" s="352"/>
      <c r="N17" s="352"/>
      <c r="O17" s="352"/>
    </row>
    <row r="18" spans="1:15">
      <c r="A18" s="20" t="s">
        <v>514</v>
      </c>
      <c r="F18" s="348">
        <v>1953</v>
      </c>
      <c r="G18" s="348">
        <v>1923</v>
      </c>
      <c r="H18" s="348">
        <v>2133</v>
      </c>
      <c r="I18" s="348">
        <v>2498</v>
      </c>
      <c r="J18" s="348">
        <v>2846</v>
      </c>
      <c r="K18" s="327">
        <v>3161</v>
      </c>
      <c r="L18" s="352">
        <v>3476</v>
      </c>
      <c r="M18" s="352">
        <v>3791</v>
      </c>
      <c r="N18" s="352">
        <v>4106</v>
      </c>
      <c r="O18" s="352">
        <v>4421</v>
      </c>
    </row>
    <row r="19" spans="1:15" ht="16.5" thickBot="1">
      <c r="A19" s="296" t="s">
        <v>40</v>
      </c>
      <c r="B19" s="298"/>
      <c r="C19" s="298"/>
      <c r="D19" s="298"/>
      <c r="E19" s="337"/>
      <c r="F19" s="409">
        <v>2691</v>
      </c>
      <c r="G19" s="409">
        <v>2592</v>
      </c>
      <c r="H19" s="421">
        <v>3102</v>
      </c>
      <c r="I19" s="421">
        <v>3985</v>
      </c>
      <c r="J19" s="421">
        <v>4435</v>
      </c>
      <c r="K19" s="421">
        <v>4885</v>
      </c>
      <c r="L19" s="351">
        <v>5335</v>
      </c>
      <c r="M19" s="351">
        <v>5785</v>
      </c>
      <c r="N19" s="351">
        <v>6235</v>
      </c>
      <c r="O19" s="351">
        <v>6685</v>
      </c>
    </row>
    <row r="20" spans="1:15" ht="16.5" thickTop="1">
      <c r="A20" s="129" t="s">
        <v>41</v>
      </c>
      <c r="F20" s="326">
        <v>770</v>
      </c>
      <c r="G20" s="348">
        <v>690</v>
      </c>
      <c r="H20" s="348">
        <v>803</v>
      </c>
      <c r="I20" s="348">
        <v>1139</v>
      </c>
      <c r="J20" s="326">
        <v>1274</v>
      </c>
      <c r="K20" s="350">
        <v>1409</v>
      </c>
      <c r="L20" s="350">
        <v>1544</v>
      </c>
      <c r="M20" s="350">
        <v>1679</v>
      </c>
      <c r="N20" s="350">
        <v>1814</v>
      </c>
      <c r="O20" s="350">
        <v>1949</v>
      </c>
    </row>
    <row r="21" spans="1:15">
      <c r="A21" s="20" t="s">
        <v>29</v>
      </c>
      <c r="F21" s="326">
        <v>32</v>
      </c>
      <c r="G21" s="348">
        <v>21</v>
      </c>
      <c r="H21" s="348">
        <v>34</v>
      </c>
      <c r="I21" s="348">
        <v>0</v>
      </c>
      <c r="J21" s="348">
        <v>0</v>
      </c>
      <c r="K21" s="348">
        <v>0</v>
      </c>
      <c r="L21" s="348">
        <v>0</v>
      </c>
      <c r="M21" s="348">
        <v>0</v>
      </c>
      <c r="N21" s="348">
        <v>0</v>
      </c>
      <c r="O21" s="348">
        <v>0</v>
      </c>
    </row>
    <row r="22" spans="1:15">
      <c r="A22" s="20" t="s">
        <v>515</v>
      </c>
      <c r="D22" s="20" t="s">
        <v>516</v>
      </c>
      <c r="F22" s="422">
        <v>5303</v>
      </c>
      <c r="G22" s="422">
        <v>5794</v>
      </c>
      <c r="H22" s="422">
        <v>7014</v>
      </c>
      <c r="I22" s="422">
        <v>8298</v>
      </c>
      <c r="J22" s="422">
        <v>9681</v>
      </c>
      <c r="K22" s="450">
        <v>4107</v>
      </c>
      <c r="L22" s="450">
        <v>4993</v>
      </c>
      <c r="M22" s="450">
        <v>4829</v>
      </c>
      <c r="N22" s="327">
        <v>4540</v>
      </c>
      <c r="O22" s="327">
        <v>3958</v>
      </c>
    </row>
    <row r="23" spans="1:15">
      <c r="A23" s="129" t="s">
        <v>43</v>
      </c>
      <c r="F23" s="422">
        <v>113</v>
      </c>
      <c r="G23" s="422">
        <v>119</v>
      </c>
      <c r="H23" s="422">
        <v>244</v>
      </c>
      <c r="I23" s="422">
        <v>328</v>
      </c>
      <c r="J23" s="422">
        <v>400</v>
      </c>
      <c r="K23" s="450">
        <f>('Assumptions '!L30*'Income Statement '!L5/365*2)-'Balance Sheet '!J23</f>
        <v>447.78356164383558</v>
      </c>
      <c r="L23" s="450">
        <f>'Assumptions '!M30*'Income Statement '!M5/365*2-'Balance Sheet '!K23</f>
        <v>495.65479452054797</v>
      </c>
      <c r="M23" s="450">
        <f>'Assumptions '!N30*'Income Statement '!N5/365*2-'Balance Sheet '!L23</f>
        <v>550.61095890410957</v>
      </c>
      <c r="N23" s="327">
        <f>'Assumptions '!O30*'Income Statement '!O5/365*2-'Balance Sheet '!M23</f>
        <v>585.37260273972606</v>
      </c>
      <c r="O23" s="327">
        <f>'Assumptions '!P30*'Income Statement '!P5/365*2-'Balance Sheet '!N23</f>
        <v>643.10136986301359</v>
      </c>
    </row>
    <row r="24" spans="1:15">
      <c r="A24" s="129" t="s">
        <v>44</v>
      </c>
      <c r="C24" s="20" t="s">
        <v>517</v>
      </c>
      <c r="F24" s="422">
        <v>1097</v>
      </c>
      <c r="G24" s="422">
        <v>777</v>
      </c>
      <c r="H24" s="422">
        <v>982</v>
      </c>
      <c r="I24" s="422">
        <v>975</v>
      </c>
      <c r="J24" s="422">
        <v>6031</v>
      </c>
      <c r="K24" s="450">
        <v>16332</v>
      </c>
      <c r="L24" s="450">
        <v>24112</v>
      </c>
      <c r="M24" s="450">
        <v>36495</v>
      </c>
      <c r="N24" s="327">
        <v>51640</v>
      </c>
      <c r="O24" s="327">
        <v>70009</v>
      </c>
    </row>
    <row r="25" spans="1:15">
      <c r="A25" s="20" t="s">
        <v>518</v>
      </c>
      <c r="F25" s="422">
        <v>885</v>
      </c>
      <c r="G25" s="422">
        <v>957</v>
      </c>
      <c r="H25" s="422">
        <v>1020</v>
      </c>
      <c r="I25" s="422">
        <v>1497</v>
      </c>
      <c r="J25" s="422">
        <v>1585</v>
      </c>
      <c r="K25" s="450">
        <v>1500</v>
      </c>
      <c r="L25" s="450">
        <v>1500</v>
      </c>
      <c r="M25" s="450">
        <v>1500</v>
      </c>
      <c r="N25" s="327">
        <v>1500</v>
      </c>
      <c r="O25" s="327">
        <v>2000</v>
      </c>
    </row>
    <row r="26" spans="1:15" ht="16.5" thickBot="1">
      <c r="A26" s="296" t="s">
        <v>30</v>
      </c>
      <c r="B26" s="298"/>
      <c r="C26" s="298"/>
      <c r="D26" s="298"/>
      <c r="E26" s="337"/>
      <c r="F26" s="354">
        <f>SUM(F18+F22+F23+F24+F25)</f>
        <v>9351</v>
      </c>
      <c r="G26" s="354">
        <f t="shared" ref="G26:O26" si="8">SUM(G18+G22+G23+G24+G25)</f>
        <v>9570</v>
      </c>
      <c r="H26" s="354">
        <v>12393</v>
      </c>
      <c r="I26" s="354">
        <v>15596</v>
      </c>
      <c r="J26" s="354">
        <f t="shared" si="8"/>
        <v>20543</v>
      </c>
      <c r="K26" s="351">
        <f t="shared" si="8"/>
        <v>25547.783561643835</v>
      </c>
      <c r="L26" s="354">
        <f t="shared" si="8"/>
        <v>34576.654794520546</v>
      </c>
      <c r="M26" s="354">
        <v>46666</v>
      </c>
      <c r="N26" s="354">
        <v>61871</v>
      </c>
      <c r="O26" s="354">
        <f t="shared" si="8"/>
        <v>81031.101369863012</v>
      </c>
    </row>
    <row r="27" spans="1:15" ht="16.5" thickTop="1">
      <c r="F27" s="179"/>
      <c r="G27" s="179"/>
      <c r="H27" s="179"/>
      <c r="I27" s="179"/>
      <c r="J27" s="179"/>
      <c r="K27" s="179"/>
      <c r="L27" s="179"/>
      <c r="M27" s="179"/>
      <c r="N27" s="179"/>
      <c r="O27" s="179"/>
    </row>
    <row r="28" spans="1:15">
      <c r="A28" s="423"/>
      <c r="B28" s="423"/>
      <c r="C28" s="423"/>
      <c r="D28" s="423"/>
      <c r="E28" s="424"/>
      <c r="F28" s="425"/>
      <c r="G28" s="425"/>
      <c r="H28" s="425"/>
      <c r="I28" s="425"/>
      <c r="J28" s="425"/>
      <c r="K28" s="425"/>
      <c r="L28" s="425"/>
      <c r="M28" s="425"/>
      <c r="N28" s="425"/>
      <c r="O28" s="425"/>
    </row>
    <row r="29" spans="1:15">
      <c r="F29" s="426"/>
      <c r="G29" s="426"/>
      <c r="H29" s="426"/>
      <c r="I29" s="426"/>
      <c r="J29" s="426"/>
      <c r="K29" s="426"/>
      <c r="L29" s="426"/>
      <c r="M29" s="426"/>
      <c r="N29" s="426"/>
      <c r="O29" s="4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5"/>
  <sheetViews>
    <sheetView showGridLines="0" workbookViewId="0">
      <selection sqref="A1:XFD1048576"/>
    </sheetView>
  </sheetViews>
  <sheetFormatPr defaultColWidth="9.125" defaultRowHeight="15.75"/>
  <cols>
    <col min="1" max="1" width="9.125" style="20"/>
    <col min="2" max="2" width="9" style="209"/>
    <col min="3" max="3" width="18" style="20" customWidth="1"/>
    <col min="4" max="16384" width="9.125" style="20"/>
  </cols>
  <sheetData>
    <row r="1" spans="1:16">
      <c r="C1" s="299" t="s">
        <v>520</v>
      </c>
      <c r="D1" s="299">
        <v>1</v>
      </c>
      <c r="E1" s="299">
        <v>2</v>
      </c>
      <c r="F1" s="299">
        <v>3</v>
      </c>
      <c r="G1" s="299">
        <v>4</v>
      </c>
      <c r="H1" s="299">
        <v>5</v>
      </c>
      <c r="I1" s="299">
        <v>6</v>
      </c>
      <c r="J1" s="299">
        <v>7</v>
      </c>
      <c r="K1" s="299">
        <v>8</v>
      </c>
      <c r="L1" s="299">
        <v>9</v>
      </c>
      <c r="M1" s="299">
        <v>10</v>
      </c>
    </row>
    <row r="2" spans="1:16" s="142" customFormat="1" ht="15" customHeight="1">
      <c r="A2" s="300" t="s">
        <v>59</v>
      </c>
      <c r="B2" s="149"/>
      <c r="C2" s="301" t="s">
        <v>528</v>
      </c>
      <c r="D2" s="302" t="s">
        <v>521</v>
      </c>
      <c r="E2" s="302" t="s">
        <v>522</v>
      </c>
      <c r="F2" s="302" t="s">
        <v>523</v>
      </c>
      <c r="G2" s="302" t="s">
        <v>524</v>
      </c>
      <c r="H2" s="302" t="s">
        <v>436</v>
      </c>
      <c r="I2" s="302" t="s">
        <v>437</v>
      </c>
      <c r="J2" s="302" t="s">
        <v>525</v>
      </c>
      <c r="K2" s="302" t="s">
        <v>526</v>
      </c>
      <c r="L2" s="302" t="s">
        <v>527</v>
      </c>
      <c r="M2" s="302" t="s">
        <v>12</v>
      </c>
      <c r="N2" s="203"/>
      <c r="O2" s="141"/>
      <c r="P2" s="141"/>
    </row>
    <row r="3" spans="1:16">
      <c r="C3" s="39" t="s">
        <v>32</v>
      </c>
      <c r="D3" s="37">
        <v>186</v>
      </c>
      <c r="E3" s="37" t="s">
        <v>529</v>
      </c>
      <c r="F3" s="37" t="s">
        <v>529</v>
      </c>
      <c r="G3" s="37" t="s">
        <v>529</v>
      </c>
      <c r="H3" s="37" t="s">
        <v>529</v>
      </c>
      <c r="I3" s="37" t="s">
        <v>529</v>
      </c>
      <c r="J3" s="37" t="s">
        <v>529</v>
      </c>
      <c r="K3" s="37" t="s">
        <v>529</v>
      </c>
      <c r="L3" s="37" t="s">
        <v>529</v>
      </c>
      <c r="M3" s="37" t="s">
        <v>529</v>
      </c>
    </row>
    <row r="4" spans="1:16">
      <c r="C4" s="39" t="s">
        <v>33</v>
      </c>
      <c r="D4" s="37">
        <v>186</v>
      </c>
      <c r="E4" s="37">
        <v>197</v>
      </c>
      <c r="F4" s="37">
        <v>72</v>
      </c>
      <c r="G4" s="37">
        <v>86</v>
      </c>
      <c r="H4" s="37">
        <v>116</v>
      </c>
      <c r="I4" s="37">
        <v>40</v>
      </c>
      <c r="J4" s="37">
        <v>30</v>
      </c>
      <c r="K4" s="37">
        <v>25</v>
      </c>
      <c r="L4" s="37">
        <v>20</v>
      </c>
      <c r="M4" s="37">
        <v>15</v>
      </c>
    </row>
    <row r="5" spans="1:16">
      <c r="C5" s="39" t="s">
        <v>530</v>
      </c>
      <c r="D5" s="37">
        <v>54</v>
      </c>
      <c r="E5" s="37">
        <v>12</v>
      </c>
      <c r="F5" s="37">
        <v>6</v>
      </c>
      <c r="G5" s="37">
        <v>22</v>
      </c>
      <c r="H5" s="37">
        <v>22</v>
      </c>
      <c r="I5" s="37">
        <v>15</v>
      </c>
      <c r="J5" s="37">
        <v>12</v>
      </c>
      <c r="K5" s="37">
        <v>10</v>
      </c>
      <c r="L5" s="37">
        <v>8</v>
      </c>
      <c r="M5" s="37">
        <v>6</v>
      </c>
    </row>
    <row r="6" spans="1:16" ht="31.5">
      <c r="C6" s="39" t="s">
        <v>531</v>
      </c>
      <c r="D6" s="37">
        <v>92</v>
      </c>
      <c r="E6" s="37">
        <v>11</v>
      </c>
      <c r="F6" s="37">
        <v>6</v>
      </c>
      <c r="G6" s="37">
        <v>10</v>
      </c>
      <c r="H6" s="37">
        <v>15</v>
      </c>
      <c r="I6" s="37">
        <v>12</v>
      </c>
      <c r="J6" s="37">
        <v>10</v>
      </c>
      <c r="K6" s="37">
        <v>8</v>
      </c>
      <c r="L6" s="37">
        <v>6</v>
      </c>
      <c r="M6" s="37">
        <v>5</v>
      </c>
    </row>
    <row r="7" spans="1:16" ht="31.5">
      <c r="C7" s="39" t="s">
        <v>532</v>
      </c>
      <c r="D7" s="37">
        <v>26</v>
      </c>
      <c r="E7" s="37">
        <v>2</v>
      </c>
      <c r="F7" s="37">
        <v>6</v>
      </c>
      <c r="G7" s="37">
        <v>6</v>
      </c>
      <c r="H7" s="37">
        <v>7</v>
      </c>
      <c r="I7" s="37">
        <v>5</v>
      </c>
      <c r="J7" s="37">
        <v>4</v>
      </c>
      <c r="K7" s="37">
        <v>3</v>
      </c>
      <c r="L7" s="37">
        <v>2</v>
      </c>
      <c r="M7" s="37">
        <v>2</v>
      </c>
    </row>
    <row r="8" spans="1:16">
      <c r="C8" s="39" t="s">
        <v>533</v>
      </c>
      <c r="D8" s="37">
        <v>730</v>
      </c>
      <c r="E8" s="37">
        <v>77</v>
      </c>
      <c r="F8" s="37">
        <v>108</v>
      </c>
      <c r="G8" s="37">
        <v>71</v>
      </c>
      <c r="H8" s="37">
        <v>97</v>
      </c>
      <c r="I8" s="37">
        <v>50</v>
      </c>
      <c r="J8" s="37">
        <v>40</v>
      </c>
      <c r="K8" s="37">
        <v>30</v>
      </c>
      <c r="L8" s="37">
        <v>5</v>
      </c>
      <c r="M8" s="37">
        <v>20</v>
      </c>
    </row>
    <row r="9" spans="1:16">
      <c r="C9" s="39" t="s">
        <v>38</v>
      </c>
      <c r="D9" s="37">
        <v>97</v>
      </c>
      <c r="E9" s="37">
        <v>1</v>
      </c>
      <c r="F9" s="37">
        <v>1</v>
      </c>
      <c r="G9" s="37">
        <v>1</v>
      </c>
      <c r="H9" s="37">
        <v>1</v>
      </c>
      <c r="I9" s="37">
        <v>1</v>
      </c>
      <c r="J9" s="37">
        <v>1</v>
      </c>
      <c r="K9" s="37">
        <v>1</v>
      </c>
      <c r="L9" s="37">
        <v>1</v>
      </c>
      <c r="M9" s="37">
        <v>1</v>
      </c>
    </row>
    <row r="10" spans="1:16" ht="31.5">
      <c r="C10" s="39" t="s">
        <v>534</v>
      </c>
      <c r="D10" s="37">
        <v>5</v>
      </c>
      <c r="E10" s="37">
        <v>5</v>
      </c>
      <c r="F10" s="37">
        <v>5</v>
      </c>
      <c r="G10" s="37">
        <v>5</v>
      </c>
      <c r="H10" s="37">
        <v>5</v>
      </c>
      <c r="I10" s="37">
        <v>1</v>
      </c>
      <c r="J10" s="37">
        <v>1</v>
      </c>
      <c r="K10" s="37">
        <v>0.5</v>
      </c>
      <c r="L10" s="37">
        <v>0.5</v>
      </c>
      <c r="M10" s="37">
        <v>0.5</v>
      </c>
    </row>
    <row r="11" spans="1:16" ht="16.5" thickBot="1">
      <c r="C11" s="303" t="s">
        <v>535</v>
      </c>
      <c r="D11" s="304">
        <v>2376</v>
      </c>
      <c r="E11" s="305">
        <v>305</v>
      </c>
      <c r="F11" s="305">
        <v>204</v>
      </c>
      <c r="G11" s="305">
        <v>201</v>
      </c>
      <c r="H11" s="305">
        <v>263</v>
      </c>
      <c r="I11" s="305">
        <v>124</v>
      </c>
      <c r="J11" s="305">
        <v>98</v>
      </c>
      <c r="K11" s="305">
        <v>78</v>
      </c>
      <c r="L11" s="305">
        <v>43</v>
      </c>
      <c r="M11" s="305">
        <v>50</v>
      </c>
      <c r="N11" s="306"/>
    </row>
    <row r="12" spans="1:16" ht="48" thickTop="1">
      <c r="C12" s="39" t="s">
        <v>536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</row>
    <row r="14" spans="1:16" ht="32.25" thickBot="1">
      <c r="C14" s="307" t="s">
        <v>537</v>
      </c>
      <c r="D14" s="308" t="s">
        <v>521</v>
      </c>
      <c r="E14" s="308" t="s">
        <v>522</v>
      </c>
      <c r="F14" s="308" t="s">
        <v>523</v>
      </c>
      <c r="G14" s="308" t="s">
        <v>524</v>
      </c>
      <c r="H14" s="308" t="s">
        <v>436</v>
      </c>
      <c r="I14" s="308" t="s">
        <v>437</v>
      </c>
      <c r="J14" s="308" t="s">
        <v>525</v>
      </c>
      <c r="K14" s="308" t="s">
        <v>526</v>
      </c>
      <c r="L14" s="308" t="s">
        <v>527</v>
      </c>
      <c r="M14" s="308" t="s">
        <v>12</v>
      </c>
      <c r="N14" s="306"/>
    </row>
    <row r="15" spans="1:16" ht="16.5" thickTop="1">
      <c r="C15" s="39" t="s">
        <v>32</v>
      </c>
      <c r="D15" s="37">
        <f>D3</f>
        <v>186</v>
      </c>
      <c r="E15" s="37">
        <v>186</v>
      </c>
      <c r="F15" s="37">
        <v>186</v>
      </c>
      <c r="G15" s="37">
        <v>186</v>
      </c>
      <c r="H15" s="37">
        <v>186</v>
      </c>
      <c r="I15" s="37">
        <v>186</v>
      </c>
      <c r="J15" s="37">
        <v>186</v>
      </c>
      <c r="K15" s="37">
        <v>186</v>
      </c>
      <c r="L15" s="37">
        <v>186</v>
      </c>
      <c r="M15" s="37">
        <v>186</v>
      </c>
    </row>
    <row r="16" spans="1:16">
      <c r="C16" s="39" t="s">
        <v>33</v>
      </c>
      <c r="D16" s="37">
        <f>D4</f>
        <v>186</v>
      </c>
      <c r="E16" s="37">
        <f t="shared" ref="E16:M16" si="0">D16+E4</f>
        <v>383</v>
      </c>
      <c r="F16" s="37">
        <f t="shared" si="0"/>
        <v>455</v>
      </c>
      <c r="G16" s="37">
        <f t="shared" si="0"/>
        <v>541</v>
      </c>
      <c r="H16" s="37">
        <f t="shared" si="0"/>
        <v>657</v>
      </c>
      <c r="I16" s="37">
        <f t="shared" si="0"/>
        <v>697</v>
      </c>
      <c r="J16" s="37">
        <f t="shared" si="0"/>
        <v>727</v>
      </c>
      <c r="K16" s="37">
        <f t="shared" si="0"/>
        <v>752</v>
      </c>
      <c r="L16" s="37">
        <f t="shared" si="0"/>
        <v>772</v>
      </c>
      <c r="M16" s="37">
        <f t="shared" si="0"/>
        <v>787</v>
      </c>
    </row>
    <row r="17" spans="2:14">
      <c r="C17" s="39" t="s">
        <v>530</v>
      </c>
      <c r="D17" s="37">
        <f>D5</f>
        <v>54</v>
      </c>
      <c r="E17" s="37">
        <f t="shared" ref="E17:M17" si="1">D17+E5</f>
        <v>66</v>
      </c>
      <c r="F17" s="37">
        <f t="shared" si="1"/>
        <v>72</v>
      </c>
      <c r="G17" s="37">
        <f t="shared" si="1"/>
        <v>94</v>
      </c>
      <c r="H17" s="37">
        <f t="shared" si="1"/>
        <v>116</v>
      </c>
      <c r="I17" s="37">
        <f t="shared" si="1"/>
        <v>131</v>
      </c>
      <c r="J17" s="37">
        <f t="shared" si="1"/>
        <v>143</v>
      </c>
      <c r="K17" s="37">
        <f t="shared" si="1"/>
        <v>153</v>
      </c>
      <c r="L17" s="37">
        <f t="shared" si="1"/>
        <v>161</v>
      </c>
      <c r="M17" s="37">
        <f t="shared" si="1"/>
        <v>167</v>
      </c>
    </row>
    <row r="18" spans="2:14">
      <c r="C18" s="39" t="s">
        <v>538</v>
      </c>
      <c r="D18" s="37">
        <f>D6</f>
        <v>92</v>
      </c>
      <c r="E18" s="37">
        <f t="shared" ref="E18:L18" si="2">D18+E6</f>
        <v>103</v>
      </c>
      <c r="F18" s="37">
        <f t="shared" si="2"/>
        <v>109</v>
      </c>
      <c r="G18" s="37">
        <f t="shared" si="2"/>
        <v>119</v>
      </c>
      <c r="H18" s="37">
        <f t="shared" si="2"/>
        <v>134</v>
      </c>
      <c r="I18" s="37">
        <f t="shared" si="2"/>
        <v>146</v>
      </c>
      <c r="J18" s="37">
        <f t="shared" si="2"/>
        <v>156</v>
      </c>
      <c r="K18" s="37">
        <f t="shared" si="2"/>
        <v>164</v>
      </c>
      <c r="L18" s="37">
        <f t="shared" si="2"/>
        <v>170</v>
      </c>
      <c r="M18" s="37">
        <v>175</v>
      </c>
    </row>
    <row r="19" spans="2:14" ht="31.5">
      <c r="C19" s="39" t="s">
        <v>532</v>
      </c>
      <c r="D19" s="37">
        <v>26</v>
      </c>
      <c r="E19" s="37">
        <f>D19+E7</f>
        <v>28</v>
      </c>
      <c r="F19" s="37">
        <f>E19+F7</f>
        <v>34</v>
      </c>
      <c r="G19" s="37">
        <f>F19+G7</f>
        <v>40</v>
      </c>
      <c r="H19" s="37">
        <f>G19+H7</f>
        <v>47</v>
      </c>
      <c r="I19" s="37">
        <f>H19+I7</f>
        <v>52</v>
      </c>
      <c r="J19" s="37">
        <f t="shared" ref="J19:M22" si="3">I19+J7</f>
        <v>56</v>
      </c>
      <c r="K19" s="37">
        <f t="shared" si="3"/>
        <v>59</v>
      </c>
      <c r="L19" s="37">
        <f t="shared" si="3"/>
        <v>61</v>
      </c>
      <c r="M19" s="37">
        <f t="shared" si="3"/>
        <v>63</v>
      </c>
    </row>
    <row r="20" spans="2:14">
      <c r="C20" s="39" t="s">
        <v>533</v>
      </c>
      <c r="D20" s="37">
        <f>D8</f>
        <v>730</v>
      </c>
      <c r="E20" s="37">
        <f t="shared" ref="E20:F22" si="4">D20+E8</f>
        <v>807</v>
      </c>
      <c r="F20" s="37">
        <f t="shared" si="4"/>
        <v>915</v>
      </c>
      <c r="G20" s="37">
        <v>986</v>
      </c>
      <c r="H20" s="37">
        <f>G20+H8</f>
        <v>1083</v>
      </c>
      <c r="I20" s="37">
        <f>H20+I8</f>
        <v>1133</v>
      </c>
      <c r="J20" s="37">
        <f>I20+J8</f>
        <v>1173</v>
      </c>
      <c r="K20" s="37">
        <f t="shared" ref="K20:M20" si="5">J20+K8</f>
        <v>1203</v>
      </c>
      <c r="L20" s="37">
        <f t="shared" si="5"/>
        <v>1208</v>
      </c>
      <c r="M20" s="37">
        <f t="shared" si="5"/>
        <v>1228</v>
      </c>
    </row>
    <row r="21" spans="2:14">
      <c r="C21" s="39" t="s">
        <v>38</v>
      </c>
      <c r="D21" s="37">
        <f>D9</f>
        <v>97</v>
      </c>
      <c r="E21" s="37">
        <f t="shared" si="4"/>
        <v>98</v>
      </c>
      <c r="F21" s="37">
        <f t="shared" si="4"/>
        <v>99</v>
      </c>
      <c r="G21" s="37">
        <f t="shared" ref="G21:I22" si="6">F21+G9</f>
        <v>100</v>
      </c>
      <c r="H21" s="37">
        <f t="shared" si="6"/>
        <v>101</v>
      </c>
      <c r="I21" s="37">
        <f t="shared" si="6"/>
        <v>102</v>
      </c>
      <c r="J21" s="37">
        <f t="shared" si="3"/>
        <v>103</v>
      </c>
      <c r="K21" s="37">
        <f t="shared" si="3"/>
        <v>104</v>
      </c>
      <c r="L21" s="37">
        <f t="shared" si="3"/>
        <v>105</v>
      </c>
      <c r="M21" s="37">
        <f t="shared" si="3"/>
        <v>106</v>
      </c>
    </row>
    <row r="22" spans="2:14">
      <c r="C22" s="39" t="s">
        <v>539</v>
      </c>
      <c r="D22" s="37">
        <f>D10</f>
        <v>5</v>
      </c>
      <c r="E22" s="37">
        <f t="shared" si="4"/>
        <v>10</v>
      </c>
      <c r="F22" s="37">
        <f t="shared" si="4"/>
        <v>15</v>
      </c>
      <c r="G22" s="37">
        <f t="shared" si="6"/>
        <v>20</v>
      </c>
      <c r="H22" s="37">
        <f t="shared" si="6"/>
        <v>25</v>
      </c>
      <c r="I22" s="37">
        <f t="shared" si="6"/>
        <v>26</v>
      </c>
      <c r="J22" s="37">
        <f t="shared" si="3"/>
        <v>27</v>
      </c>
      <c r="K22" s="37">
        <f t="shared" si="3"/>
        <v>27.5</v>
      </c>
      <c r="L22" s="37">
        <f t="shared" si="3"/>
        <v>28</v>
      </c>
      <c r="M22" s="37">
        <f t="shared" si="3"/>
        <v>28.5</v>
      </c>
    </row>
    <row r="23" spans="2:14" ht="16.5" thickBot="1">
      <c r="C23" s="303" t="s">
        <v>540</v>
      </c>
      <c r="D23" s="304">
        <f>SUM(D15:D22)+1000</f>
        <v>2376</v>
      </c>
      <c r="E23" s="304">
        <f t="shared" ref="E23:M23" si="7">SUM(E15:E22)+1000</f>
        <v>2681</v>
      </c>
      <c r="F23" s="304">
        <f t="shared" si="7"/>
        <v>2885</v>
      </c>
      <c r="G23" s="304">
        <f t="shared" si="7"/>
        <v>3086</v>
      </c>
      <c r="H23" s="304">
        <f t="shared" si="7"/>
        <v>3349</v>
      </c>
      <c r="I23" s="304">
        <f t="shared" si="7"/>
        <v>3473</v>
      </c>
      <c r="J23" s="304">
        <f t="shared" si="7"/>
        <v>3571</v>
      </c>
      <c r="K23" s="304">
        <f t="shared" si="7"/>
        <v>3648.5</v>
      </c>
      <c r="L23" s="304">
        <f t="shared" si="7"/>
        <v>3691</v>
      </c>
      <c r="M23" s="304">
        <f t="shared" si="7"/>
        <v>3740.5</v>
      </c>
      <c r="N23" s="306"/>
    </row>
    <row r="24" spans="2:14" ht="32.25" thickTop="1">
      <c r="C24" s="299" t="s">
        <v>541</v>
      </c>
      <c r="D24" s="299" t="s">
        <v>521</v>
      </c>
      <c r="E24" s="299" t="s">
        <v>522</v>
      </c>
      <c r="F24" s="299" t="s">
        <v>523</v>
      </c>
      <c r="G24" s="299" t="s">
        <v>524</v>
      </c>
      <c r="H24" s="299" t="s">
        <v>436</v>
      </c>
      <c r="I24" s="299" t="s">
        <v>437</v>
      </c>
      <c r="J24" s="299" t="s">
        <v>525</v>
      </c>
      <c r="K24" s="299" t="s">
        <v>526</v>
      </c>
      <c r="L24" s="299" t="s">
        <v>527</v>
      </c>
      <c r="M24" s="299" t="s">
        <v>12</v>
      </c>
    </row>
    <row r="25" spans="2:14">
      <c r="B25" s="309">
        <v>3.1699999999999999E-2</v>
      </c>
      <c r="C25" s="39" t="s">
        <v>542</v>
      </c>
      <c r="D25" s="310">
        <f>$B$25*D16</f>
        <v>5.8961999999999994</v>
      </c>
      <c r="E25" s="310">
        <f t="shared" ref="E25:M25" si="8">$B$25*E16</f>
        <v>12.1411</v>
      </c>
      <c r="F25" s="310">
        <f t="shared" si="8"/>
        <v>14.423499999999999</v>
      </c>
      <c r="G25" s="310">
        <f t="shared" si="8"/>
        <v>17.149699999999999</v>
      </c>
      <c r="H25" s="310">
        <f t="shared" si="8"/>
        <v>20.826899999999998</v>
      </c>
      <c r="I25" s="310">
        <f t="shared" si="8"/>
        <v>22.094899999999999</v>
      </c>
      <c r="J25" s="310">
        <f t="shared" si="8"/>
        <v>23.0459</v>
      </c>
      <c r="K25" s="310">
        <f t="shared" si="8"/>
        <v>23.8384</v>
      </c>
      <c r="L25" s="310">
        <f t="shared" si="8"/>
        <v>24.4724</v>
      </c>
      <c r="M25" s="310">
        <f t="shared" si="8"/>
        <v>24.947900000000001</v>
      </c>
    </row>
    <row r="26" spans="2:14" ht="31.5">
      <c r="B26" s="309">
        <v>6.3299999999999995E-2</v>
      </c>
      <c r="C26" s="39" t="s">
        <v>543</v>
      </c>
      <c r="D26" s="310">
        <f>$B$26*D17</f>
        <v>3.4181999999999997</v>
      </c>
      <c r="E26" s="310">
        <f t="shared" ref="E26:M26" si="9">$B$26*E17</f>
        <v>4.1777999999999995</v>
      </c>
      <c r="F26" s="310">
        <f t="shared" si="9"/>
        <v>4.5575999999999999</v>
      </c>
      <c r="G26" s="310">
        <f t="shared" si="9"/>
        <v>5.9501999999999997</v>
      </c>
      <c r="H26" s="310">
        <f t="shared" si="9"/>
        <v>7.3427999999999995</v>
      </c>
      <c r="I26" s="310">
        <f t="shared" si="9"/>
        <v>8.2922999999999991</v>
      </c>
      <c r="J26" s="310">
        <f t="shared" si="9"/>
        <v>9.0518999999999998</v>
      </c>
      <c r="K26" s="310">
        <f t="shared" si="9"/>
        <v>9.684899999999999</v>
      </c>
      <c r="L26" s="310">
        <f t="shared" si="9"/>
        <v>10.1913</v>
      </c>
      <c r="M26" s="310">
        <f t="shared" si="9"/>
        <v>10.571099999999999</v>
      </c>
    </row>
    <row r="27" spans="2:14" ht="31.5">
      <c r="B27" s="311">
        <v>0.15</v>
      </c>
      <c r="C27" s="39" t="s">
        <v>544</v>
      </c>
      <c r="D27" s="310">
        <f>D18*$B$27</f>
        <v>13.799999999999999</v>
      </c>
      <c r="E27" s="310">
        <f t="shared" ref="E27:M27" si="10">E18*$B$27</f>
        <v>15.45</v>
      </c>
      <c r="F27" s="310">
        <f t="shared" si="10"/>
        <v>16.349999999999998</v>
      </c>
      <c r="G27" s="310">
        <f t="shared" si="10"/>
        <v>17.849999999999998</v>
      </c>
      <c r="H27" s="310">
        <f t="shared" si="10"/>
        <v>20.099999999999998</v>
      </c>
      <c r="I27" s="310">
        <f t="shared" si="10"/>
        <v>21.9</v>
      </c>
      <c r="J27" s="310">
        <f t="shared" si="10"/>
        <v>23.4</v>
      </c>
      <c r="K27" s="310">
        <f t="shared" si="10"/>
        <v>24.599999999999998</v>
      </c>
      <c r="L27" s="310">
        <f t="shared" si="10"/>
        <v>25.5</v>
      </c>
      <c r="M27" s="310">
        <f t="shared" si="10"/>
        <v>26.25</v>
      </c>
    </row>
    <row r="28" spans="2:14" ht="31.5">
      <c r="B28" s="309">
        <v>0.31669999999999998</v>
      </c>
      <c r="C28" s="39" t="s">
        <v>545</v>
      </c>
      <c r="D28" s="310">
        <f>$B$28*D19</f>
        <v>8.2341999999999995</v>
      </c>
      <c r="E28" s="310">
        <f>$B$28*E19</f>
        <v>8.8675999999999995</v>
      </c>
      <c r="F28" s="37">
        <v>9</v>
      </c>
      <c r="G28" s="37">
        <v>9</v>
      </c>
      <c r="H28" s="37">
        <v>10</v>
      </c>
      <c r="I28" s="37">
        <v>10</v>
      </c>
      <c r="J28" s="37">
        <v>10</v>
      </c>
      <c r="K28" s="37">
        <v>9</v>
      </c>
      <c r="L28" s="37">
        <v>8</v>
      </c>
      <c r="M28" s="37">
        <v>7</v>
      </c>
    </row>
    <row r="29" spans="2:14" ht="31.5">
      <c r="B29" s="309">
        <v>9.5000000000000001E-2</v>
      </c>
      <c r="C29" s="39" t="s">
        <v>546</v>
      </c>
      <c r="D29" s="310">
        <f>$B$29*D20</f>
        <v>69.349999999999994</v>
      </c>
      <c r="E29" s="37">
        <v>70</v>
      </c>
      <c r="F29" s="37">
        <v>74</v>
      </c>
      <c r="G29" s="37">
        <v>73</v>
      </c>
      <c r="H29" s="37">
        <v>76</v>
      </c>
      <c r="I29" s="37">
        <v>73</v>
      </c>
      <c r="J29" s="37">
        <v>70</v>
      </c>
      <c r="K29" s="37">
        <v>66</v>
      </c>
      <c r="L29" s="37">
        <v>60</v>
      </c>
      <c r="M29" s="37">
        <v>57</v>
      </c>
    </row>
    <row r="30" spans="2:14">
      <c r="B30" s="309">
        <v>0.1188</v>
      </c>
      <c r="C30" s="39" t="s">
        <v>547</v>
      </c>
      <c r="D30" s="310">
        <f>$B$30*D21</f>
        <v>11.5236</v>
      </c>
      <c r="E30" s="37">
        <v>10</v>
      </c>
      <c r="F30" s="37">
        <v>9</v>
      </c>
      <c r="G30" s="37">
        <v>8</v>
      </c>
      <c r="H30" s="37">
        <v>7</v>
      </c>
      <c r="I30" s="37">
        <v>7</v>
      </c>
      <c r="J30" s="37">
        <v>6</v>
      </c>
      <c r="K30" s="37">
        <v>5</v>
      </c>
      <c r="L30" s="37">
        <v>5</v>
      </c>
      <c r="M30" s="37">
        <v>4</v>
      </c>
    </row>
    <row r="31" spans="2:14">
      <c r="B31" s="311">
        <v>0.2</v>
      </c>
      <c r="C31" s="39" t="s">
        <v>548</v>
      </c>
      <c r="D31" s="37">
        <f>$B$31*D22</f>
        <v>1</v>
      </c>
      <c r="E31" s="37">
        <f>B31*E22</f>
        <v>2</v>
      </c>
      <c r="F31" s="310">
        <f>$B$31*F22</f>
        <v>3</v>
      </c>
      <c r="G31" s="310">
        <f t="shared" ref="G31:M31" si="11">$B$31*G22</f>
        <v>4</v>
      </c>
      <c r="H31" s="310">
        <f t="shared" si="11"/>
        <v>5</v>
      </c>
      <c r="I31" s="310">
        <f t="shared" si="11"/>
        <v>5.2</v>
      </c>
      <c r="J31" s="310">
        <f t="shared" si="11"/>
        <v>5.4</v>
      </c>
      <c r="K31" s="310">
        <f t="shared" si="11"/>
        <v>5.5</v>
      </c>
      <c r="L31" s="310">
        <f t="shared" si="11"/>
        <v>5.6000000000000005</v>
      </c>
      <c r="M31" s="310">
        <f t="shared" si="11"/>
        <v>5.7</v>
      </c>
    </row>
    <row r="32" spans="2:14">
      <c r="C32" s="40" t="s">
        <v>68</v>
      </c>
      <c r="D32" s="312">
        <f>SUM(D25:D31)</f>
        <v>113.2222</v>
      </c>
      <c r="E32" s="312">
        <f t="shared" ref="E32:M32" si="12">SUM(E25:E31)</f>
        <v>122.6365</v>
      </c>
      <c r="F32" s="312">
        <f t="shared" si="12"/>
        <v>130.33109999999999</v>
      </c>
      <c r="G32" s="312">
        <f t="shared" si="12"/>
        <v>134.94990000000001</v>
      </c>
      <c r="H32" s="312">
        <f t="shared" si="12"/>
        <v>146.2697</v>
      </c>
      <c r="I32" s="312">
        <f t="shared" si="12"/>
        <v>147.48719999999997</v>
      </c>
      <c r="J32" s="312">
        <f t="shared" si="12"/>
        <v>146.89779999999999</v>
      </c>
      <c r="K32" s="312">
        <f t="shared" si="12"/>
        <v>143.6233</v>
      </c>
      <c r="L32" s="312">
        <f t="shared" si="12"/>
        <v>138.7637</v>
      </c>
      <c r="M32" s="312">
        <f t="shared" si="12"/>
        <v>135.46899999999999</v>
      </c>
    </row>
    <row r="33" spans="3:14" ht="94.5">
      <c r="C33" s="39" t="s">
        <v>549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5" spans="3:14"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80"/>
  <sheetViews>
    <sheetView topLeftCell="C1" zoomScale="110" zoomScaleNormal="110" workbookViewId="0">
      <pane ySplit="1" topLeftCell="A170" activePane="bottomLeft" state="frozen"/>
      <selection pane="bottomLeft" activeCell="G33" sqref="G33"/>
    </sheetView>
  </sheetViews>
  <sheetFormatPr defaultColWidth="10.25" defaultRowHeight="15.75"/>
  <cols>
    <col min="1" max="1" width="3.25" style="142" customWidth="1"/>
    <col min="2" max="2" width="4.125" style="142" customWidth="1"/>
    <col min="3" max="3" width="26.875" style="144" customWidth="1"/>
    <col min="4" max="4" width="5.875" style="158" customWidth="1"/>
    <col min="5" max="5" width="7.375" style="142" customWidth="1"/>
    <col min="6" max="6" width="5.375" style="142" customWidth="1"/>
    <col min="7" max="9" width="10.25" style="142"/>
    <col min="10" max="10" width="13" style="142" customWidth="1"/>
    <col min="11" max="14" width="10.25" style="142"/>
    <col min="15" max="15" width="16.25" style="142" bestFit="1" customWidth="1"/>
    <col min="16" max="16" width="18.375" style="142" bestFit="1" customWidth="1"/>
    <col min="17" max="16384" width="10.25" style="142"/>
  </cols>
  <sheetData>
    <row r="1" spans="1:17" ht="15" customHeight="1">
      <c r="A1" s="141" t="s">
        <v>59</v>
      </c>
      <c r="C1" s="142"/>
      <c r="D1" s="143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7" ht="15" customHeight="1">
      <c r="B2" s="142" t="s">
        <v>1</v>
      </c>
      <c r="C2" s="287" t="s">
        <v>72</v>
      </c>
      <c r="E2" s="144"/>
      <c r="F2" s="146"/>
      <c r="G2" s="288">
        <f>F2+1</f>
        <v>1</v>
      </c>
      <c r="H2" s="288">
        <f t="shared" ref="H2:P2" si="0">G2+1</f>
        <v>2</v>
      </c>
      <c r="I2" s="288">
        <f t="shared" si="0"/>
        <v>3</v>
      </c>
      <c r="J2" s="288">
        <f t="shared" si="0"/>
        <v>4</v>
      </c>
      <c r="K2" s="288">
        <f t="shared" si="0"/>
        <v>5</v>
      </c>
      <c r="L2" s="288">
        <f t="shared" si="0"/>
        <v>6</v>
      </c>
      <c r="M2" s="288">
        <f t="shared" si="0"/>
        <v>7</v>
      </c>
      <c r="N2" s="288">
        <f t="shared" si="0"/>
        <v>8</v>
      </c>
      <c r="O2" s="288">
        <f t="shared" si="0"/>
        <v>9</v>
      </c>
      <c r="P2" s="288">
        <f t="shared" si="0"/>
        <v>10</v>
      </c>
    </row>
    <row r="3" spans="1:17" ht="15" customHeight="1">
      <c r="A3" s="141" t="s">
        <v>60</v>
      </c>
      <c r="B3" s="141"/>
      <c r="C3" s="142"/>
      <c r="G3" s="147" t="s">
        <v>2</v>
      </c>
      <c r="H3" s="147" t="s">
        <v>3</v>
      </c>
      <c r="I3" s="147" t="s">
        <v>4</v>
      </c>
      <c r="J3" s="147" t="s">
        <v>5</v>
      </c>
      <c r="K3" s="147" t="s">
        <v>6</v>
      </c>
      <c r="L3" s="147" t="s">
        <v>8</v>
      </c>
      <c r="M3" s="147" t="s">
        <v>9</v>
      </c>
      <c r="N3" s="147" t="s">
        <v>10</v>
      </c>
      <c r="O3" s="147" t="s">
        <v>11</v>
      </c>
      <c r="P3" s="147" t="s">
        <v>12</v>
      </c>
    </row>
    <row r="4" spans="1:17" ht="15" customHeight="1">
      <c r="A4" s="141"/>
      <c r="B4" s="289" t="s">
        <v>32</v>
      </c>
      <c r="C4" s="142"/>
      <c r="E4" s="141"/>
      <c r="F4" s="141"/>
      <c r="G4" s="144">
        <v>186.1</v>
      </c>
      <c r="H4" s="144">
        <v>0</v>
      </c>
      <c r="I4" s="144">
        <v>0</v>
      </c>
      <c r="J4" s="144">
        <v>0</v>
      </c>
      <c r="K4" s="144">
        <v>0</v>
      </c>
      <c r="L4" s="144">
        <v>0</v>
      </c>
      <c r="M4" s="144">
        <v>0</v>
      </c>
      <c r="N4" s="144">
        <v>0</v>
      </c>
      <c r="O4" s="144">
        <v>0</v>
      </c>
      <c r="P4" s="144">
        <v>0</v>
      </c>
      <c r="Q4" s="156"/>
    </row>
    <row r="5" spans="1:17">
      <c r="A5" s="141"/>
      <c r="B5" s="289" t="s">
        <v>33</v>
      </c>
      <c r="C5" s="142"/>
      <c r="E5" s="141"/>
      <c r="F5" s="141"/>
      <c r="G5" s="144">
        <v>186.1</v>
      </c>
      <c r="H5" s="144">
        <v>197.2</v>
      </c>
      <c r="I5" s="144">
        <v>71.5</v>
      </c>
      <c r="J5" s="144">
        <v>85.5</v>
      </c>
      <c r="K5" s="144">
        <v>116</v>
      </c>
      <c r="L5" s="144">
        <v>40</v>
      </c>
      <c r="M5" s="144">
        <v>30</v>
      </c>
      <c r="N5" s="144">
        <v>25</v>
      </c>
      <c r="O5" s="144">
        <v>20</v>
      </c>
      <c r="P5" s="144">
        <v>15</v>
      </c>
    </row>
    <row r="6" spans="1:17">
      <c r="A6" s="144"/>
      <c r="B6" s="289" t="s">
        <v>34</v>
      </c>
      <c r="C6" s="142"/>
      <c r="G6" s="144">
        <v>54.31</v>
      </c>
      <c r="H6" s="144">
        <v>11.92</v>
      </c>
      <c r="I6" s="144">
        <v>5.53</v>
      </c>
      <c r="J6" s="144">
        <v>22.07</v>
      </c>
      <c r="K6" s="144">
        <v>21.65</v>
      </c>
      <c r="L6" s="144">
        <v>15</v>
      </c>
      <c r="M6" s="144">
        <v>12</v>
      </c>
      <c r="N6" s="144">
        <v>10</v>
      </c>
      <c r="O6" s="144">
        <v>8</v>
      </c>
      <c r="P6" s="144">
        <v>6</v>
      </c>
    </row>
    <row r="7" spans="1:17">
      <c r="A7" s="144"/>
      <c r="B7" s="129" t="s">
        <v>35</v>
      </c>
      <c r="C7" s="142"/>
      <c r="G7" s="144">
        <v>91.76</v>
      </c>
      <c r="H7" s="144">
        <v>11.37</v>
      </c>
      <c r="I7" s="144">
        <v>6.05</v>
      </c>
      <c r="J7" s="144">
        <v>10.38</v>
      </c>
      <c r="K7" s="144">
        <v>14.8</v>
      </c>
      <c r="L7" s="144">
        <v>12</v>
      </c>
      <c r="M7" s="144">
        <v>10</v>
      </c>
      <c r="N7" s="144">
        <v>8</v>
      </c>
      <c r="O7" s="144">
        <v>6</v>
      </c>
      <c r="P7" s="144">
        <v>5</v>
      </c>
    </row>
    <row r="8" spans="1:17">
      <c r="A8" s="144"/>
      <c r="B8" s="129" t="s">
        <v>36</v>
      </c>
      <c r="C8" s="142"/>
      <c r="G8" s="144">
        <v>26.49</v>
      </c>
      <c r="H8" s="144">
        <v>1.78</v>
      </c>
      <c r="I8" s="144">
        <v>5.87</v>
      </c>
      <c r="J8" s="144">
        <v>5.75</v>
      </c>
      <c r="K8" s="144">
        <v>6.66</v>
      </c>
      <c r="L8" s="144">
        <v>5</v>
      </c>
      <c r="M8" s="144">
        <v>4</v>
      </c>
      <c r="N8" s="144">
        <v>3</v>
      </c>
      <c r="O8" s="144">
        <v>2</v>
      </c>
      <c r="P8" s="144">
        <v>2</v>
      </c>
    </row>
    <row r="9" spans="1:17">
      <c r="A9" s="144"/>
      <c r="B9" s="129" t="s">
        <v>37</v>
      </c>
      <c r="C9" s="142"/>
      <c r="G9" s="144">
        <v>729.77</v>
      </c>
      <c r="H9" s="144">
        <v>77.489999999999995</v>
      </c>
      <c r="I9" s="144">
        <v>107.79</v>
      </c>
      <c r="J9" s="144">
        <v>71.22</v>
      </c>
      <c r="K9" s="144">
        <v>97.13</v>
      </c>
      <c r="L9" s="144">
        <v>50</v>
      </c>
      <c r="M9" s="144">
        <v>40</v>
      </c>
      <c r="N9" s="144">
        <v>30</v>
      </c>
      <c r="O9" s="144">
        <v>5</v>
      </c>
      <c r="P9" s="144">
        <v>20</v>
      </c>
    </row>
    <row r="10" spans="1:17">
      <c r="A10" s="144"/>
      <c r="B10" s="129" t="s">
        <v>38</v>
      </c>
      <c r="C10" s="142"/>
      <c r="G10" s="144">
        <v>97.13</v>
      </c>
      <c r="H10" s="144">
        <v>0.99</v>
      </c>
      <c r="I10" s="144">
        <v>0.97</v>
      </c>
      <c r="J10" s="144">
        <v>1.04</v>
      </c>
      <c r="K10" s="144">
        <v>1</v>
      </c>
      <c r="L10" s="144">
        <v>1</v>
      </c>
      <c r="M10" s="144">
        <v>1</v>
      </c>
      <c r="N10" s="144">
        <v>1</v>
      </c>
      <c r="O10" s="144">
        <v>1</v>
      </c>
      <c r="P10" s="144">
        <v>1</v>
      </c>
    </row>
    <row r="11" spans="1:17">
      <c r="A11" s="144"/>
      <c r="B11" s="129" t="s">
        <v>230</v>
      </c>
      <c r="C11" s="142"/>
      <c r="G11" s="144">
        <v>5.0599999999999996</v>
      </c>
      <c r="H11" s="144">
        <v>5.0599999999999996</v>
      </c>
      <c r="I11" s="144">
        <v>5.0599999999999996</v>
      </c>
      <c r="J11" s="144">
        <v>5.0599999999999996</v>
      </c>
      <c r="K11" s="144">
        <v>5.0599999999999996</v>
      </c>
      <c r="L11" s="144"/>
      <c r="M11" s="144"/>
      <c r="N11" s="144"/>
      <c r="O11" s="144"/>
      <c r="P11" s="144"/>
    </row>
    <row r="12" spans="1:17" s="58" customFormat="1">
      <c r="B12" s="180" t="s">
        <v>61</v>
      </c>
      <c r="C12" s="180"/>
      <c r="D12" s="174"/>
      <c r="E12" s="180"/>
      <c r="F12" s="180"/>
      <c r="G12" s="290">
        <f>SUM(G4:G11)</f>
        <v>1376.7199999999998</v>
      </c>
      <c r="H12" s="290">
        <f t="shared" ref="H12:P12" si="1">SUM(H4:H11)</f>
        <v>305.81</v>
      </c>
      <c r="I12" s="290">
        <f t="shared" si="1"/>
        <v>202.77</v>
      </c>
      <c r="J12" s="290">
        <f t="shared" si="1"/>
        <v>201.01999999999998</v>
      </c>
      <c r="K12" s="290">
        <f t="shared" si="1"/>
        <v>262.3</v>
      </c>
      <c r="L12" s="290">
        <f t="shared" si="1"/>
        <v>123</v>
      </c>
      <c r="M12" s="290">
        <f t="shared" si="1"/>
        <v>97</v>
      </c>
      <c r="N12" s="290">
        <f t="shared" si="1"/>
        <v>77</v>
      </c>
      <c r="O12" s="290">
        <f t="shared" si="1"/>
        <v>42</v>
      </c>
      <c r="P12" s="290">
        <f t="shared" si="1"/>
        <v>49</v>
      </c>
      <c r="Q12" s="142"/>
    </row>
    <row r="13" spans="1:17">
      <c r="A13" s="141" t="s">
        <v>32</v>
      </c>
      <c r="C13" s="142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</row>
    <row r="14" spans="1:17">
      <c r="A14" s="144"/>
      <c r="B14" s="141" t="s">
        <v>40</v>
      </c>
      <c r="C14" s="142"/>
      <c r="G14" s="147"/>
      <c r="H14" s="147"/>
      <c r="I14" s="147"/>
      <c r="J14" s="147"/>
      <c r="K14" s="147"/>
      <c r="L14" s="147"/>
      <c r="M14" s="147"/>
      <c r="N14" s="147"/>
      <c r="O14" s="147"/>
      <c r="P14" s="147"/>
    </row>
    <row r="15" spans="1:17">
      <c r="A15" s="144"/>
      <c r="C15" s="142" t="s">
        <v>62</v>
      </c>
      <c r="G15" s="146"/>
      <c r="H15" s="147">
        <f>G18</f>
        <v>186.1</v>
      </c>
      <c r="I15" s="147">
        <f t="shared" ref="I15:P15" si="2">H18</f>
        <v>186.1</v>
      </c>
      <c r="J15" s="147">
        <f t="shared" si="2"/>
        <v>186.1</v>
      </c>
      <c r="K15" s="147">
        <f t="shared" si="2"/>
        <v>186.1</v>
      </c>
      <c r="L15" s="147">
        <f>K18</f>
        <v>186.1</v>
      </c>
      <c r="M15" s="147">
        <f t="shared" si="2"/>
        <v>186.1</v>
      </c>
      <c r="N15" s="147">
        <f t="shared" si="2"/>
        <v>186.1</v>
      </c>
      <c r="O15" s="147">
        <f t="shared" si="2"/>
        <v>186.1</v>
      </c>
      <c r="P15" s="147">
        <f t="shared" si="2"/>
        <v>186.1</v>
      </c>
    </row>
    <row r="16" spans="1:17">
      <c r="A16" s="144"/>
      <c r="C16" s="142" t="s">
        <v>63</v>
      </c>
      <c r="G16" s="147">
        <f>G4</f>
        <v>186.1</v>
      </c>
      <c r="H16" s="147"/>
      <c r="I16" s="147"/>
      <c r="J16" s="147"/>
      <c r="K16" s="147"/>
      <c r="L16" s="147"/>
      <c r="M16" s="147"/>
      <c r="N16" s="147"/>
      <c r="O16" s="147"/>
      <c r="P16" s="147"/>
    </row>
    <row r="17" spans="1:16">
      <c r="A17" s="144"/>
      <c r="C17" s="142" t="s">
        <v>64</v>
      </c>
      <c r="G17" s="147">
        <v>0</v>
      </c>
      <c r="H17" s="147">
        <v>0</v>
      </c>
      <c r="I17" s="147">
        <v>0</v>
      </c>
      <c r="J17" s="147">
        <v>0</v>
      </c>
      <c r="K17" s="147">
        <v>0</v>
      </c>
      <c r="L17" s="147">
        <v>0</v>
      </c>
      <c r="M17" s="147">
        <v>0</v>
      </c>
      <c r="N17" s="147">
        <v>0</v>
      </c>
      <c r="O17" s="147">
        <v>0</v>
      </c>
      <c r="P17" s="147">
        <v>0</v>
      </c>
    </row>
    <row r="18" spans="1:16" s="141" customFormat="1">
      <c r="A18" s="157"/>
      <c r="C18" s="166" t="s">
        <v>65</v>
      </c>
      <c r="D18" s="167"/>
      <c r="E18" s="166"/>
      <c r="F18" s="166"/>
      <c r="G18" s="176">
        <f t="shared" ref="G18:P18" si="3">G15+G16-G17</f>
        <v>186.1</v>
      </c>
      <c r="H18" s="176">
        <f t="shared" si="3"/>
        <v>186.1</v>
      </c>
      <c r="I18" s="176">
        <f t="shared" si="3"/>
        <v>186.1</v>
      </c>
      <c r="J18" s="176">
        <f t="shared" si="3"/>
        <v>186.1</v>
      </c>
      <c r="K18" s="176">
        <f t="shared" si="3"/>
        <v>186.1</v>
      </c>
      <c r="L18" s="176">
        <f t="shared" si="3"/>
        <v>186.1</v>
      </c>
      <c r="M18" s="176">
        <f t="shared" si="3"/>
        <v>186.1</v>
      </c>
      <c r="N18" s="176">
        <f t="shared" si="3"/>
        <v>186.1</v>
      </c>
      <c r="O18" s="176">
        <f t="shared" si="3"/>
        <v>186.1</v>
      </c>
      <c r="P18" s="176">
        <f t="shared" si="3"/>
        <v>186.1</v>
      </c>
    </row>
    <row r="19" spans="1:16">
      <c r="A19" s="291" t="s">
        <v>33</v>
      </c>
      <c r="B19" s="141"/>
      <c r="C19" s="142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</row>
    <row r="20" spans="1:16">
      <c r="A20" s="144"/>
      <c r="B20" s="141" t="s">
        <v>40</v>
      </c>
      <c r="C20" s="142"/>
      <c r="G20" s="147"/>
      <c r="H20" s="147"/>
      <c r="I20" s="147"/>
      <c r="J20" s="147"/>
      <c r="K20" s="147"/>
      <c r="L20" s="147"/>
      <c r="M20" s="147"/>
      <c r="N20" s="147"/>
      <c r="O20" s="147"/>
      <c r="P20" s="147"/>
    </row>
    <row r="21" spans="1:16">
      <c r="A21" s="144"/>
      <c r="C21" s="142" t="s">
        <v>62</v>
      </c>
      <c r="G21" s="146">
        <v>0</v>
      </c>
      <c r="H21" s="147">
        <f>G24</f>
        <v>186.1</v>
      </c>
      <c r="I21" s="147">
        <f t="shared" ref="I21:P21" si="4">H24</f>
        <v>383.29999999999995</v>
      </c>
      <c r="J21" s="147">
        <f t="shared" si="4"/>
        <v>454.79999999999995</v>
      </c>
      <c r="K21" s="147">
        <f t="shared" si="4"/>
        <v>540.29999999999995</v>
      </c>
      <c r="L21" s="147">
        <f t="shared" si="4"/>
        <v>656.3</v>
      </c>
      <c r="M21" s="147">
        <f t="shared" si="4"/>
        <v>696.3</v>
      </c>
      <c r="N21" s="147">
        <f t="shared" si="4"/>
        <v>726.3</v>
      </c>
      <c r="O21" s="147">
        <f t="shared" si="4"/>
        <v>751.3</v>
      </c>
      <c r="P21" s="147">
        <f t="shared" si="4"/>
        <v>771.3</v>
      </c>
    </row>
    <row r="22" spans="1:16">
      <c r="A22" s="144"/>
      <c r="C22" s="142" t="s">
        <v>63</v>
      </c>
      <c r="G22" s="147">
        <f t="shared" ref="G22:P22" si="5">G5</f>
        <v>186.1</v>
      </c>
      <c r="H22" s="147">
        <f t="shared" si="5"/>
        <v>197.2</v>
      </c>
      <c r="I22" s="147">
        <f t="shared" si="5"/>
        <v>71.5</v>
      </c>
      <c r="J22" s="147">
        <f t="shared" si="5"/>
        <v>85.5</v>
      </c>
      <c r="K22" s="147">
        <f t="shared" si="5"/>
        <v>116</v>
      </c>
      <c r="L22" s="147">
        <f t="shared" si="5"/>
        <v>40</v>
      </c>
      <c r="M22" s="147">
        <f t="shared" si="5"/>
        <v>30</v>
      </c>
      <c r="N22" s="147">
        <f t="shared" si="5"/>
        <v>25</v>
      </c>
      <c r="O22" s="147">
        <f t="shared" si="5"/>
        <v>20</v>
      </c>
      <c r="P22" s="147">
        <f t="shared" si="5"/>
        <v>15</v>
      </c>
    </row>
    <row r="23" spans="1:16">
      <c r="A23" s="144"/>
      <c r="C23" s="142" t="s">
        <v>64</v>
      </c>
      <c r="G23" s="147">
        <v>0</v>
      </c>
      <c r="H23" s="147">
        <v>0</v>
      </c>
      <c r="I23" s="147">
        <v>0</v>
      </c>
      <c r="J23" s="147">
        <v>0</v>
      </c>
      <c r="K23" s="147">
        <v>0</v>
      </c>
      <c r="L23" s="147">
        <v>0</v>
      </c>
      <c r="M23" s="147">
        <v>0</v>
      </c>
      <c r="N23" s="147">
        <v>0</v>
      </c>
      <c r="O23" s="147">
        <v>0</v>
      </c>
      <c r="P23" s="147">
        <v>0</v>
      </c>
    </row>
    <row r="24" spans="1:16" s="141" customFormat="1">
      <c r="C24" s="166" t="s">
        <v>65</v>
      </c>
      <c r="D24" s="167"/>
      <c r="E24" s="166"/>
      <c r="F24" s="166"/>
      <c r="G24" s="176">
        <f>G21+G22-G23</f>
        <v>186.1</v>
      </c>
      <c r="H24" s="176">
        <f>H21+H22-H23</f>
        <v>383.29999999999995</v>
      </c>
      <c r="I24" s="176">
        <f t="shared" ref="I24:P24" si="6">I21+I22-I23</f>
        <v>454.79999999999995</v>
      </c>
      <c r="J24" s="176">
        <f t="shared" si="6"/>
        <v>540.29999999999995</v>
      </c>
      <c r="K24" s="176">
        <f t="shared" si="6"/>
        <v>656.3</v>
      </c>
      <c r="L24" s="176">
        <f t="shared" si="6"/>
        <v>696.3</v>
      </c>
      <c r="M24" s="176">
        <f t="shared" si="6"/>
        <v>726.3</v>
      </c>
      <c r="N24" s="176">
        <f t="shared" si="6"/>
        <v>751.3</v>
      </c>
      <c r="O24" s="176">
        <f t="shared" si="6"/>
        <v>771.3</v>
      </c>
      <c r="P24" s="176">
        <f t="shared" si="6"/>
        <v>786.3</v>
      </c>
    </row>
    <row r="25" spans="1:16" s="141" customFormat="1">
      <c r="A25" s="141" t="s">
        <v>66</v>
      </c>
      <c r="D25" s="143"/>
      <c r="E25" s="292">
        <v>3.1699999999999999E-2</v>
      </c>
      <c r="F25" s="293"/>
    </row>
    <row r="26" spans="1:16" s="141" customFormat="1">
      <c r="A26" s="157"/>
      <c r="B26" s="141" t="s">
        <v>67</v>
      </c>
      <c r="D26" s="143"/>
    </row>
    <row r="27" spans="1:16">
      <c r="A27" s="144"/>
      <c r="C27" s="147" t="s">
        <v>2</v>
      </c>
      <c r="E27" s="147">
        <f t="array" ref="E27:E36">TRANSPOSE(G22:P22)</f>
        <v>186.1</v>
      </c>
      <c r="F27" s="147"/>
      <c r="G27" s="147">
        <f>MIN($E27-SUM($F27:F27),$E27*$E$25)</f>
        <v>5.8993699999999993</v>
      </c>
      <c r="H27" s="147">
        <f>MIN($E27-SUM($F27:G27),$E27*$E$25)</f>
        <v>5.8993699999999993</v>
      </c>
      <c r="I27" s="147">
        <f>MIN($E27-SUM($F27:H27),$E27*$E$25)</f>
        <v>5.8993699999999993</v>
      </c>
      <c r="J27" s="147">
        <f>MIN($E27-SUM($F27:I27),$E27*$E$25)</f>
        <v>5.8993699999999993</v>
      </c>
      <c r="K27" s="147">
        <f>MIN($E27-SUM($F27:J27),$E27*$E$25)</f>
        <v>5.8993699999999993</v>
      </c>
      <c r="L27" s="147">
        <f>MIN($E27-SUM($F27:K27),$E27*$E$25)</f>
        <v>5.8993699999999993</v>
      </c>
      <c r="M27" s="147">
        <f>MIN($E27-SUM($F27:L27),$E27*$E$25)</f>
        <v>5.8993699999999993</v>
      </c>
      <c r="N27" s="147">
        <f>MIN($E27-SUM($F27:M27),$E27*$E$25)</f>
        <v>5.8993699999999993</v>
      </c>
      <c r="O27" s="147">
        <f>MIN($E27-SUM($F27:N27),$E27*$E$25)</f>
        <v>5.8993699999999993</v>
      </c>
      <c r="P27" s="147">
        <f>MIN($E27-SUM($F27:O27),$E27*$E$25)</f>
        <v>5.8993699999999993</v>
      </c>
    </row>
    <row r="28" spans="1:16">
      <c r="A28" s="144"/>
      <c r="C28" s="147" t="s">
        <v>3</v>
      </c>
      <c r="E28" s="147">
        <v>197.2</v>
      </c>
      <c r="F28" s="147"/>
      <c r="G28" s="147"/>
      <c r="H28" s="147">
        <f>MIN($E28-SUM($F28:G28),$E28*$E$25)</f>
        <v>6.2512399999999992</v>
      </c>
      <c r="I28" s="147">
        <f>MIN($E28-SUM($F28:H28),$E28*$E$25)</f>
        <v>6.2512399999999992</v>
      </c>
      <c r="J28" s="147">
        <f>MIN($E28-SUM($F28:I28),$E28*$E$25)</f>
        <v>6.2512399999999992</v>
      </c>
      <c r="K28" s="147">
        <f>MIN($E28-SUM($F28:J28),$E28*$E$25)</f>
        <v>6.2512399999999992</v>
      </c>
      <c r="L28" s="147">
        <f>MIN($E28-SUM($F28:K28),$E28*$E$25)</f>
        <v>6.2512399999999992</v>
      </c>
      <c r="M28" s="147">
        <f>MIN($E28-SUM($F28:L28),$E28*$E$25)</f>
        <v>6.2512399999999992</v>
      </c>
      <c r="N28" s="147">
        <f>MIN($E28-SUM($F28:M28),$E28*$E$25)</f>
        <v>6.2512399999999992</v>
      </c>
      <c r="O28" s="147">
        <f>MIN($E28-SUM($F28:N28),$E28*$E$25)</f>
        <v>6.2512399999999992</v>
      </c>
      <c r="P28" s="147">
        <f>MIN($E28-SUM($F28:O28),$E28*$E$25)</f>
        <v>6.2512399999999992</v>
      </c>
    </row>
    <row r="29" spans="1:16">
      <c r="A29" s="144"/>
      <c r="C29" s="147" t="s">
        <v>4</v>
      </c>
      <c r="E29" s="147">
        <v>71.5</v>
      </c>
      <c r="F29" s="147"/>
      <c r="G29" s="147"/>
      <c r="H29" s="147"/>
      <c r="I29" s="147">
        <f>MIN($E29-SUM($F29:H29),$E29*$E$25)</f>
        <v>2.2665500000000001</v>
      </c>
      <c r="J29" s="147">
        <f>MIN($E29-SUM($F29:I29),$E29*$E$25)</f>
        <v>2.2665500000000001</v>
      </c>
      <c r="K29" s="147">
        <f>MIN($E29-SUM($F29:J29),$E29*$E$25)</f>
        <v>2.2665500000000001</v>
      </c>
      <c r="L29" s="147">
        <f>MIN($E29-SUM($F29:K29),$E29*$E$25)</f>
        <v>2.2665500000000001</v>
      </c>
      <c r="M29" s="147">
        <f>MIN($E29-SUM($F29:L29),$E29*$E$25)</f>
        <v>2.2665500000000001</v>
      </c>
      <c r="N29" s="147">
        <f>MIN($E29-SUM($F29:M29),$E29*$E$25)</f>
        <v>2.2665500000000001</v>
      </c>
      <c r="O29" s="147">
        <f>MIN($E29-SUM($F29:N29),$E29*$E$25)</f>
        <v>2.2665500000000001</v>
      </c>
      <c r="P29" s="147">
        <f>MIN($E29-SUM($F29:O29),$E29*$E$25)</f>
        <v>2.2665500000000001</v>
      </c>
    </row>
    <row r="30" spans="1:16">
      <c r="A30" s="144"/>
      <c r="C30" s="147" t="s">
        <v>5</v>
      </c>
      <c r="E30" s="147">
        <v>85.5</v>
      </c>
      <c r="F30" s="147"/>
      <c r="G30" s="147"/>
      <c r="H30" s="147"/>
      <c r="I30" s="147"/>
      <c r="J30" s="147">
        <f>MIN($E30-SUM($F30:I30),$E30*$E$25)</f>
        <v>2.71035</v>
      </c>
      <c r="K30" s="147">
        <f>MIN($E30-SUM($F30:J30),$E30*$E$25)</f>
        <v>2.71035</v>
      </c>
      <c r="L30" s="147">
        <f>MIN($E30-SUM($F30:K30),$E30*$E$25)</f>
        <v>2.71035</v>
      </c>
      <c r="M30" s="147">
        <f>MIN($E30-SUM($F30:L30),$E30*$E$25)</f>
        <v>2.71035</v>
      </c>
      <c r="N30" s="147">
        <f>MIN($E30-SUM($F30:M30),$E30*$E$25)</f>
        <v>2.71035</v>
      </c>
      <c r="O30" s="147">
        <f>MIN($E30-SUM($F30:N30),$E30*$E$25)</f>
        <v>2.71035</v>
      </c>
      <c r="P30" s="147">
        <f>MIN($E30-SUM($F30:O30),$E30*$E$25)</f>
        <v>2.71035</v>
      </c>
    </row>
    <row r="31" spans="1:16">
      <c r="A31" s="144"/>
      <c r="C31" s="147" t="s">
        <v>6</v>
      </c>
      <c r="E31" s="147">
        <v>116</v>
      </c>
      <c r="F31" s="147"/>
      <c r="G31" s="147"/>
      <c r="H31" s="147"/>
      <c r="I31" s="147"/>
      <c r="J31" s="147"/>
      <c r="K31" s="147">
        <f>MIN($E31-SUM($F31:J31),$E31*$E$25)</f>
        <v>3.6772</v>
      </c>
      <c r="L31" s="147">
        <f>MIN($E31-SUM($F31:K31),$E31*$E$25)</f>
        <v>3.6772</v>
      </c>
      <c r="M31" s="147">
        <f>MIN($E31-SUM($F31:L31),$E31*$E$25)</f>
        <v>3.6772</v>
      </c>
      <c r="N31" s="147">
        <f>MIN($E31-SUM($F31:M31),$E31*$E$25)</f>
        <v>3.6772</v>
      </c>
      <c r="O31" s="147">
        <f>MIN($E31-SUM($F31:N31),$E31*$E$25)</f>
        <v>3.6772</v>
      </c>
      <c r="P31" s="147">
        <f>MIN($E31-SUM($F31:O31),$E31*$E$25)</f>
        <v>3.6772</v>
      </c>
    </row>
    <row r="32" spans="1:16">
      <c r="A32" s="144"/>
      <c r="C32" s="147" t="s">
        <v>8</v>
      </c>
      <c r="E32" s="147">
        <v>40</v>
      </c>
      <c r="F32" s="147"/>
      <c r="G32" s="147"/>
      <c r="H32" s="147"/>
      <c r="I32" s="147"/>
      <c r="J32" s="147"/>
      <c r="K32" s="147"/>
      <c r="L32" s="147">
        <f>MIN($E32-SUM($F32:K32),$E32*$E$25)</f>
        <v>1.268</v>
      </c>
      <c r="M32" s="147">
        <f>MIN($E32-SUM($F32:L32),$E32*$E$25)</f>
        <v>1.268</v>
      </c>
      <c r="N32" s="147">
        <f>MIN($E32-SUM($F32:M32),$E32*$E$25)</f>
        <v>1.268</v>
      </c>
      <c r="O32" s="147">
        <f>MIN($E32-SUM($F32:N32),$E32*$E$25)</f>
        <v>1.268</v>
      </c>
      <c r="P32" s="147">
        <f>MIN($E32-SUM($F32:O32),$E32*$E$25)</f>
        <v>1.268</v>
      </c>
    </row>
    <row r="33" spans="1:16">
      <c r="A33" s="144"/>
      <c r="C33" s="147" t="s">
        <v>9</v>
      </c>
      <c r="E33" s="147">
        <v>30</v>
      </c>
      <c r="F33" s="147"/>
      <c r="G33" s="147"/>
      <c r="H33" s="147"/>
      <c r="I33" s="147"/>
      <c r="J33" s="147"/>
      <c r="K33" s="147"/>
      <c r="L33" s="147"/>
      <c r="M33" s="147">
        <f>MIN($E33-SUM($F33:L33),$E33*$E$25)</f>
        <v>0.95099999999999996</v>
      </c>
      <c r="N33" s="147">
        <f>MIN($E33-SUM($F33:M33),$E33*$E$25)</f>
        <v>0.95099999999999996</v>
      </c>
      <c r="O33" s="147">
        <f>MIN($E33-SUM($F33:N33),$E33*$E$25)</f>
        <v>0.95099999999999996</v>
      </c>
      <c r="P33" s="147">
        <f>MIN($E33-SUM($F33:O33),$E33*$E$25)</f>
        <v>0.95099999999999996</v>
      </c>
    </row>
    <row r="34" spans="1:16">
      <c r="A34" s="144"/>
      <c r="C34" s="147" t="s">
        <v>10</v>
      </c>
      <c r="E34" s="147">
        <v>25</v>
      </c>
      <c r="F34" s="147"/>
      <c r="G34" s="147"/>
      <c r="H34" s="147"/>
      <c r="I34" s="147"/>
      <c r="J34" s="147"/>
      <c r="K34" s="147"/>
      <c r="L34" s="147"/>
      <c r="M34" s="147"/>
      <c r="N34" s="147">
        <f>MIN($E34-SUM($F34:M34),$E34*$E$25)</f>
        <v>0.79249999999999998</v>
      </c>
      <c r="O34" s="147">
        <f>MIN($E34-SUM($F34:N34),$E34*$E$25)</f>
        <v>0.79249999999999998</v>
      </c>
      <c r="P34" s="147">
        <f>MIN($E34-SUM($F34:O34),$E34*$E$25)</f>
        <v>0.79249999999999998</v>
      </c>
    </row>
    <row r="35" spans="1:16">
      <c r="A35" s="144"/>
      <c r="C35" s="147" t="s">
        <v>11</v>
      </c>
      <c r="E35" s="147">
        <v>20</v>
      </c>
      <c r="F35" s="147"/>
      <c r="G35" s="147"/>
      <c r="H35" s="147"/>
      <c r="I35" s="147"/>
      <c r="J35" s="147"/>
      <c r="K35" s="147"/>
      <c r="L35" s="147"/>
      <c r="M35" s="147"/>
      <c r="N35" s="147"/>
      <c r="O35" s="147">
        <f>MIN($E35-SUM($F35:N35),$E35*$E$25)</f>
        <v>0.63400000000000001</v>
      </c>
      <c r="P35" s="147">
        <f>MIN($E35-SUM($F35:O35),$E35*$E$25)</f>
        <v>0.63400000000000001</v>
      </c>
    </row>
    <row r="36" spans="1:16">
      <c r="A36" s="144"/>
      <c r="C36" s="147" t="s">
        <v>12</v>
      </c>
      <c r="E36" s="147">
        <v>15</v>
      </c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>
        <f>MIN($E36-SUM($F36:O36),$E36*$E$25)</f>
        <v>0.47549999999999998</v>
      </c>
    </row>
    <row r="37" spans="1:16" s="141" customFormat="1">
      <c r="A37" s="157"/>
      <c r="C37" s="176" t="s">
        <v>68</v>
      </c>
      <c r="D37" s="167"/>
      <c r="E37" s="166"/>
      <c r="F37" s="166"/>
      <c r="G37" s="166">
        <f>SUM(G27:G36)</f>
        <v>5.8993699999999993</v>
      </c>
      <c r="H37" s="166">
        <f t="shared" ref="H37:P37" si="7">SUM(H27:H36)</f>
        <v>12.150609999999999</v>
      </c>
      <c r="I37" s="166">
        <f t="shared" si="7"/>
        <v>14.417159999999999</v>
      </c>
      <c r="J37" s="166">
        <f t="shared" si="7"/>
        <v>17.127510000000001</v>
      </c>
      <c r="K37" s="166">
        <f t="shared" si="7"/>
        <v>20.80471</v>
      </c>
      <c r="L37" s="166">
        <f t="shared" si="7"/>
        <v>22.072710000000001</v>
      </c>
      <c r="M37" s="166">
        <f t="shared" si="7"/>
        <v>23.023710000000001</v>
      </c>
      <c r="N37" s="166">
        <f t="shared" si="7"/>
        <v>23.816210000000002</v>
      </c>
      <c r="O37" s="166">
        <f t="shared" si="7"/>
        <v>24.450210000000002</v>
      </c>
      <c r="P37" s="166">
        <f t="shared" si="7"/>
        <v>24.925710000000002</v>
      </c>
    </row>
    <row r="38" spans="1:16" s="141" customFormat="1">
      <c r="A38" s="141" t="s">
        <v>231</v>
      </c>
      <c r="D38" s="143"/>
      <c r="E38" s="294">
        <v>0.1</v>
      </c>
      <c r="F38" s="293"/>
    </row>
    <row r="39" spans="1:16" s="141" customFormat="1">
      <c r="A39" s="157"/>
      <c r="B39" s="141" t="s">
        <v>67</v>
      </c>
      <c r="D39" s="143"/>
    </row>
    <row r="40" spans="1:16">
      <c r="A40" s="144"/>
      <c r="C40" s="147" t="s">
        <v>2</v>
      </c>
      <c r="E40" s="147">
        <f t="array" ref="E40:E49">TRANSPOSE(G22:P22)</f>
        <v>186.1</v>
      </c>
      <c r="F40" s="147"/>
      <c r="G40" s="147">
        <f>($E40-SUM($F40:F40))*$E$38</f>
        <v>18.61</v>
      </c>
      <c r="H40" s="147">
        <f>($E40-SUM($F40:G40))*$E$38</f>
        <v>16.749000000000002</v>
      </c>
      <c r="I40" s="147">
        <f>($E40-SUM($F40:H40))*$E$38</f>
        <v>15.0741</v>
      </c>
      <c r="J40" s="147">
        <f>($E40-SUM($F40:I40))*$E$38</f>
        <v>13.566690000000001</v>
      </c>
      <c r="K40" s="147">
        <f>($E40-SUM($F40:J40))*$E$38</f>
        <v>12.210020999999999</v>
      </c>
      <c r="L40" s="147">
        <f>($E40-SUM($F40:K40))*$E$38</f>
        <v>10.9890189</v>
      </c>
      <c r="M40" s="147">
        <f>($E40-SUM($F40:L40))*$E$38</f>
        <v>9.8901170099999991</v>
      </c>
      <c r="N40" s="147">
        <f>($E40-SUM($F40:M40))*$E$38</f>
        <v>8.9011053090000001</v>
      </c>
      <c r="O40" s="147">
        <f>($E40-SUM($F40:N40))*$E$38</f>
        <v>8.0109947780999988</v>
      </c>
      <c r="P40" s="147">
        <f>($E40-SUM($F40:O40))*$E$38</f>
        <v>7.2098953002899995</v>
      </c>
    </row>
    <row r="41" spans="1:16">
      <c r="A41" s="144"/>
      <c r="C41" s="147" t="s">
        <v>3</v>
      </c>
      <c r="E41" s="147">
        <v>197.2</v>
      </c>
      <c r="F41" s="147"/>
      <c r="G41" s="147"/>
      <c r="H41" s="147">
        <f>($E41-SUM($F41:G41))*$E$38</f>
        <v>19.72</v>
      </c>
      <c r="I41" s="147">
        <f>($E41-SUM($F41:H41))*$E$38</f>
        <v>17.748000000000001</v>
      </c>
      <c r="J41" s="147">
        <f>($E41-SUM($F41:I41))*$E$38</f>
        <v>15.973199999999999</v>
      </c>
      <c r="K41" s="147">
        <f>($E41-SUM($F41:J41))*$E$38</f>
        <v>14.375879999999999</v>
      </c>
      <c r="L41" s="147">
        <f>($E41-SUM($F41:K41))*$E$38</f>
        <v>12.938291999999999</v>
      </c>
      <c r="M41" s="147">
        <f>($E41-SUM($F41:L41))*$E$38</f>
        <v>11.644462799999999</v>
      </c>
      <c r="N41" s="147">
        <f>($E41-SUM($F41:M41))*$E$38</f>
        <v>10.48001652</v>
      </c>
      <c r="O41" s="147">
        <f>($E41-SUM($F41:N41))*$E$38</f>
        <v>9.4320148679999996</v>
      </c>
      <c r="P41" s="147">
        <f>($E41-SUM($F41:O41))*$E$38</f>
        <v>8.4888133812</v>
      </c>
    </row>
    <row r="42" spans="1:16">
      <c r="A42" s="144"/>
      <c r="C42" s="147" t="s">
        <v>4</v>
      </c>
      <c r="E42" s="147">
        <v>71.5</v>
      </c>
      <c r="F42" s="147"/>
      <c r="G42" s="147"/>
      <c r="H42" s="147"/>
      <c r="I42" s="147">
        <f>($E42-SUM($F42:H42))*$E$38</f>
        <v>7.15</v>
      </c>
      <c r="J42" s="147">
        <f>($E42-SUM($F42:I42))*$E$38</f>
        <v>6.4349999999999996</v>
      </c>
      <c r="K42" s="147">
        <f>($E42-SUM($F42:J42))*$E$38</f>
        <v>5.7915000000000001</v>
      </c>
      <c r="L42" s="147">
        <f>($E42-SUM($F42:K42))*$E$38</f>
        <v>5.2123500000000007</v>
      </c>
      <c r="M42" s="147">
        <f>($E42-SUM($F42:L42))*$E$38</f>
        <v>4.6911149999999999</v>
      </c>
      <c r="N42" s="147">
        <f>($E42-SUM($F42:M42))*$E$38</f>
        <v>4.2220034999999996</v>
      </c>
      <c r="O42" s="147">
        <f>($E42-SUM($F42:N42))*$E$38</f>
        <v>3.7998031499999998</v>
      </c>
      <c r="P42" s="147">
        <f>($E42-SUM($F42:O42))*$E$38</f>
        <v>3.4198228349999997</v>
      </c>
    </row>
    <row r="43" spans="1:16">
      <c r="A43" s="144"/>
      <c r="C43" s="147" t="s">
        <v>5</v>
      </c>
      <c r="E43" s="147">
        <v>85.5</v>
      </c>
      <c r="F43" s="147"/>
      <c r="G43" s="147"/>
      <c r="H43" s="147"/>
      <c r="I43" s="147"/>
      <c r="J43" s="147">
        <f>($E43-SUM($F43:I43))*$E$38</f>
        <v>8.5500000000000007</v>
      </c>
      <c r="K43" s="147">
        <f>($E43-SUM($F43:J43))*$E$38</f>
        <v>7.6950000000000003</v>
      </c>
      <c r="L43" s="147">
        <f>($E43-SUM($F43:K43))*$E$38</f>
        <v>6.9254999999999995</v>
      </c>
      <c r="M43" s="147">
        <f>($E43-SUM($F43:L43))*$E$38</f>
        <v>6.2329499999999998</v>
      </c>
      <c r="N43" s="147">
        <f>($E43-SUM($F43:M43))*$E$38</f>
        <v>5.6096550000000001</v>
      </c>
      <c r="O43" s="147">
        <f>($E43-SUM($F43:N43))*$E$38</f>
        <v>5.0486895000000009</v>
      </c>
      <c r="P43" s="147">
        <f>($E43-SUM($F43:O43))*$E$38</f>
        <v>4.5438205500000004</v>
      </c>
    </row>
    <row r="44" spans="1:16">
      <c r="A44" s="144"/>
      <c r="C44" s="147" t="s">
        <v>6</v>
      </c>
      <c r="E44" s="147">
        <v>116</v>
      </c>
      <c r="F44" s="147"/>
      <c r="G44" s="147"/>
      <c r="H44" s="147"/>
      <c r="I44" s="147"/>
      <c r="J44" s="147"/>
      <c r="K44" s="147">
        <f>($E44-SUM($F44:J44))*$E$38</f>
        <v>11.600000000000001</v>
      </c>
      <c r="L44" s="147">
        <f>($E44-SUM($F44:K44))*$E$38</f>
        <v>10.440000000000001</v>
      </c>
      <c r="M44" s="147">
        <f>($E44-SUM($F44:L44))*$E$38</f>
        <v>9.395999999999999</v>
      </c>
      <c r="N44" s="147">
        <f>($E44-SUM($F44:M44))*$E$38</f>
        <v>8.4564000000000004</v>
      </c>
      <c r="O44" s="147">
        <f>($E44-SUM($F44:N44))*$E$38</f>
        <v>7.6107599999999991</v>
      </c>
      <c r="P44" s="147">
        <f>($E44-SUM($F44:O44))*$E$38</f>
        <v>6.8496839999999999</v>
      </c>
    </row>
    <row r="45" spans="1:16">
      <c r="A45" s="144"/>
      <c r="C45" s="147" t="s">
        <v>8</v>
      </c>
      <c r="E45" s="147">
        <v>40</v>
      </c>
      <c r="F45" s="147"/>
      <c r="G45" s="147"/>
      <c r="H45" s="147"/>
      <c r="I45" s="147"/>
      <c r="J45" s="147"/>
      <c r="K45" s="147"/>
      <c r="L45" s="147">
        <f>($E45-SUM($F45:K45))*$E$38</f>
        <v>4</v>
      </c>
      <c r="M45" s="147">
        <f>($E45-SUM($F45:L45))*$E$38</f>
        <v>3.6</v>
      </c>
      <c r="N45" s="147">
        <f>($E45-SUM($F45:M45))*$E$38</f>
        <v>3.24</v>
      </c>
      <c r="O45" s="147">
        <f>($E45-SUM($F45:N45))*$E$38</f>
        <v>2.9160000000000004</v>
      </c>
      <c r="P45" s="147">
        <f>($E45-SUM($F45:O45))*$E$38</f>
        <v>2.6244000000000001</v>
      </c>
    </row>
    <row r="46" spans="1:16">
      <c r="A46" s="144"/>
      <c r="C46" s="147" t="s">
        <v>9</v>
      </c>
      <c r="E46" s="147">
        <v>30</v>
      </c>
      <c r="F46" s="147"/>
      <c r="G46" s="147"/>
      <c r="H46" s="147"/>
      <c r="I46" s="147"/>
      <c r="J46" s="147"/>
      <c r="K46" s="147"/>
      <c r="L46" s="147"/>
      <c r="M46" s="147">
        <f>($E46-SUM($F46:L46))*$E$38</f>
        <v>3</v>
      </c>
      <c r="N46" s="147">
        <f>($E46-SUM($F46:M46))*$E$38</f>
        <v>2.7</v>
      </c>
      <c r="O46" s="147">
        <f>($E46-SUM($F46:N46))*$E$38</f>
        <v>2.4300000000000002</v>
      </c>
      <c r="P46" s="147">
        <f>($E46-SUM($F46:O46))*$E$38</f>
        <v>2.1869999999999998</v>
      </c>
    </row>
    <row r="47" spans="1:16">
      <c r="A47" s="144"/>
      <c r="C47" s="147" t="s">
        <v>10</v>
      </c>
      <c r="E47" s="147">
        <v>25</v>
      </c>
      <c r="F47" s="147"/>
      <c r="G47" s="147"/>
      <c r="H47" s="147"/>
      <c r="I47" s="147"/>
      <c r="J47" s="147"/>
      <c r="K47" s="147"/>
      <c r="L47" s="147"/>
      <c r="M47" s="147"/>
      <c r="N47" s="147">
        <f>($E47-SUM($F47:M47))*$E$38</f>
        <v>2.5</v>
      </c>
      <c r="O47" s="147">
        <f>($E47-SUM($F47:N47))*$E$38</f>
        <v>2.25</v>
      </c>
      <c r="P47" s="147">
        <f>($E47-SUM($F47:O47))*$E$38</f>
        <v>2.0249999999999999</v>
      </c>
    </row>
    <row r="48" spans="1:16">
      <c r="A48" s="144"/>
      <c r="C48" s="147" t="s">
        <v>11</v>
      </c>
      <c r="E48" s="147">
        <v>20</v>
      </c>
      <c r="F48" s="147"/>
      <c r="G48" s="147"/>
      <c r="H48" s="147"/>
      <c r="I48" s="147"/>
      <c r="J48" s="147"/>
      <c r="K48" s="147"/>
      <c r="L48" s="147"/>
      <c r="M48" s="147"/>
      <c r="N48" s="147"/>
      <c r="O48" s="147">
        <f>($E48-SUM($F48:N48))*$E$38</f>
        <v>2</v>
      </c>
      <c r="P48" s="147">
        <f>($E48-SUM($F48:O48))*$E$38</f>
        <v>1.8</v>
      </c>
    </row>
    <row r="49" spans="1:16">
      <c r="A49" s="144"/>
      <c r="C49" s="147" t="s">
        <v>12</v>
      </c>
      <c r="E49" s="147">
        <v>15</v>
      </c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>
        <f>($E49-SUM($F49:O49))*$E$38</f>
        <v>1.5</v>
      </c>
    </row>
    <row r="50" spans="1:16" s="141" customFormat="1">
      <c r="A50" s="157"/>
      <c r="C50" s="176" t="s">
        <v>68</v>
      </c>
      <c r="D50" s="167"/>
      <c r="E50" s="166"/>
      <c r="F50" s="166"/>
      <c r="G50" s="166">
        <f>SUM(G40:G49)</f>
        <v>18.61</v>
      </c>
      <c r="H50" s="166">
        <f t="shared" ref="H50:P50" si="8">SUM(H40:H49)</f>
        <v>36.469000000000001</v>
      </c>
      <c r="I50" s="166">
        <f t="shared" si="8"/>
        <v>39.972099999999998</v>
      </c>
      <c r="J50" s="166">
        <f t="shared" si="8"/>
        <v>44.524889999999999</v>
      </c>
      <c r="K50" s="166">
        <f t="shared" si="8"/>
        <v>51.672401000000001</v>
      </c>
      <c r="L50" s="166">
        <f t="shared" si="8"/>
        <v>50.505160899999993</v>
      </c>
      <c r="M50" s="166">
        <f t="shared" si="8"/>
        <v>48.454644809999998</v>
      </c>
      <c r="N50" s="166">
        <f t="shared" si="8"/>
        <v>46.109180329000004</v>
      </c>
      <c r="O50" s="166">
        <f t="shared" si="8"/>
        <v>43.498262296100002</v>
      </c>
      <c r="P50" s="166">
        <f t="shared" si="8"/>
        <v>40.648436066489992</v>
      </c>
    </row>
    <row r="51" spans="1:16">
      <c r="A51" s="141"/>
      <c r="B51" s="291" t="s">
        <v>34</v>
      </c>
      <c r="C51" s="142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</row>
    <row r="52" spans="1:16">
      <c r="A52" s="144"/>
      <c r="B52" s="141" t="s">
        <v>40</v>
      </c>
      <c r="C52" s="142"/>
      <c r="G52" s="147"/>
      <c r="H52" s="147"/>
      <c r="I52" s="147"/>
      <c r="J52" s="147"/>
      <c r="K52" s="147"/>
      <c r="L52" s="147"/>
      <c r="M52" s="147"/>
      <c r="N52" s="147"/>
      <c r="O52" s="147"/>
      <c r="P52" s="147"/>
    </row>
    <row r="53" spans="1:16">
      <c r="A53" s="144"/>
      <c r="C53" s="142" t="s">
        <v>62</v>
      </c>
      <c r="G53" s="146">
        <v>0</v>
      </c>
      <c r="H53" s="147">
        <f>G56</f>
        <v>54.31</v>
      </c>
      <c r="I53" s="147">
        <f t="shared" ref="I53:P53" si="9">H56</f>
        <v>66.23</v>
      </c>
      <c r="J53" s="147">
        <f t="shared" si="9"/>
        <v>72.100000000000009</v>
      </c>
      <c r="K53" s="147">
        <f t="shared" si="9"/>
        <v>94.170000000000016</v>
      </c>
      <c r="L53" s="147">
        <f t="shared" si="9"/>
        <v>115.82000000000002</v>
      </c>
      <c r="M53" s="147">
        <f t="shared" si="9"/>
        <v>130.82000000000002</v>
      </c>
      <c r="N53" s="147">
        <f t="shared" si="9"/>
        <v>142.82000000000002</v>
      </c>
      <c r="O53" s="147">
        <f t="shared" si="9"/>
        <v>152.82000000000002</v>
      </c>
      <c r="P53" s="147">
        <f t="shared" si="9"/>
        <v>160.82000000000002</v>
      </c>
    </row>
    <row r="54" spans="1:16">
      <c r="A54" s="144"/>
      <c r="C54" s="142" t="s">
        <v>63</v>
      </c>
      <c r="G54" s="147">
        <f>G6</f>
        <v>54.31</v>
      </c>
      <c r="H54" s="147">
        <f>H6</f>
        <v>11.92</v>
      </c>
      <c r="I54" s="147">
        <f t="shared" ref="I54" si="10">I8</f>
        <v>5.87</v>
      </c>
      <c r="J54" s="147">
        <f t="shared" ref="J54:P54" si="11">J6</f>
        <v>22.07</v>
      </c>
      <c r="K54" s="147">
        <f t="shared" si="11"/>
        <v>21.65</v>
      </c>
      <c r="L54" s="147">
        <f t="shared" si="11"/>
        <v>15</v>
      </c>
      <c r="M54" s="147">
        <f t="shared" si="11"/>
        <v>12</v>
      </c>
      <c r="N54" s="147">
        <f t="shared" si="11"/>
        <v>10</v>
      </c>
      <c r="O54" s="147">
        <f t="shared" si="11"/>
        <v>8</v>
      </c>
      <c r="P54" s="147">
        <f t="shared" si="11"/>
        <v>6</v>
      </c>
    </row>
    <row r="55" spans="1:16">
      <c r="A55" s="144"/>
      <c r="C55" s="142" t="s">
        <v>64</v>
      </c>
      <c r="G55" s="147">
        <v>0</v>
      </c>
      <c r="H55" s="147">
        <v>0</v>
      </c>
      <c r="I55" s="147">
        <v>0</v>
      </c>
      <c r="J55" s="147">
        <v>0</v>
      </c>
      <c r="K55" s="147">
        <v>0</v>
      </c>
      <c r="L55" s="147">
        <v>0</v>
      </c>
      <c r="M55" s="147">
        <v>0</v>
      </c>
      <c r="N55" s="147">
        <v>0</v>
      </c>
      <c r="O55" s="147">
        <v>0</v>
      </c>
      <c r="P55" s="147">
        <v>0</v>
      </c>
    </row>
    <row r="56" spans="1:16" s="141" customFormat="1">
      <c r="A56" s="157"/>
      <c r="C56" s="166" t="s">
        <v>65</v>
      </c>
      <c r="D56" s="167"/>
      <c r="E56" s="166"/>
      <c r="F56" s="166"/>
      <c r="G56" s="176">
        <f>G53+G54-G55</f>
        <v>54.31</v>
      </c>
      <c r="H56" s="176">
        <f>H53+H54-H55</f>
        <v>66.23</v>
      </c>
      <c r="I56" s="176">
        <f t="shared" ref="I56:P56" si="12">I53+I54-I55</f>
        <v>72.100000000000009</v>
      </c>
      <c r="J56" s="176">
        <f t="shared" si="12"/>
        <v>94.170000000000016</v>
      </c>
      <c r="K56" s="176">
        <f t="shared" si="12"/>
        <v>115.82000000000002</v>
      </c>
      <c r="L56" s="176">
        <f t="shared" si="12"/>
        <v>130.82000000000002</v>
      </c>
      <c r="M56" s="176">
        <f t="shared" si="12"/>
        <v>142.82000000000002</v>
      </c>
      <c r="N56" s="176">
        <f t="shared" si="12"/>
        <v>152.82000000000002</v>
      </c>
      <c r="O56" s="176">
        <f t="shared" si="12"/>
        <v>160.82000000000002</v>
      </c>
      <c r="P56" s="176">
        <f t="shared" si="12"/>
        <v>166.82000000000002</v>
      </c>
    </row>
    <row r="57" spans="1:16" s="141" customFormat="1">
      <c r="A57" s="141" t="s">
        <v>66</v>
      </c>
      <c r="D57" s="143"/>
      <c r="E57" s="292">
        <v>6.3299999999999995E-2</v>
      </c>
      <c r="F57" s="293"/>
    </row>
    <row r="58" spans="1:16" s="141" customFormat="1">
      <c r="A58" s="157"/>
      <c r="B58" s="141" t="s">
        <v>67</v>
      </c>
      <c r="D58" s="143"/>
    </row>
    <row r="59" spans="1:16">
      <c r="A59" s="144"/>
      <c r="C59" s="147" t="s">
        <v>2</v>
      </c>
      <c r="E59" s="147">
        <f t="array" ref="E59:E68">TRANSPOSE(G54:P54)</f>
        <v>54.31</v>
      </c>
      <c r="F59" s="147"/>
      <c r="G59" s="147">
        <f>MIN($E59-SUM($F59:F59),$E59*$E$57)</f>
        <v>3.4378229999999999</v>
      </c>
      <c r="H59" s="147">
        <f>MIN($E59-SUM($F59:G59),$E59*$E$57)</f>
        <v>3.4378229999999999</v>
      </c>
      <c r="I59" s="147">
        <f>MIN($E59-SUM($F59:H59),$E59*$E$57)</f>
        <v>3.4378229999999999</v>
      </c>
      <c r="J59" s="147">
        <f>MIN($E59-SUM($F59:I59),$E59*$E$57)</f>
        <v>3.4378229999999999</v>
      </c>
      <c r="K59" s="147">
        <f>MIN($E59-SUM($F59:J59),$E59*$E$57)</f>
        <v>3.4378229999999999</v>
      </c>
      <c r="L59" s="147">
        <f>MIN($E59-SUM($F59:K59),$E59*$E$57)</f>
        <v>3.4378229999999999</v>
      </c>
      <c r="M59" s="147">
        <f>MIN($E59-SUM($F59:L59),$E59*$E$57)</f>
        <v>3.4378229999999999</v>
      </c>
      <c r="N59" s="147">
        <f>MIN($E59-SUM($F59:M59),$E59*$E$57)</f>
        <v>3.4378229999999999</v>
      </c>
      <c r="O59" s="147">
        <f>MIN($E59-SUM($F59:N59),$E59*$E$57)</f>
        <v>3.4378229999999999</v>
      </c>
      <c r="P59" s="147">
        <f>MIN($E59-SUM($F59:O59),$E59*$E$57)</f>
        <v>3.4378229999999999</v>
      </c>
    </row>
    <row r="60" spans="1:16">
      <c r="A60" s="144"/>
      <c r="C60" s="147" t="s">
        <v>3</v>
      </c>
      <c r="E60" s="147">
        <v>11.92</v>
      </c>
      <c r="F60" s="147"/>
      <c r="G60" s="147"/>
      <c r="H60" s="147">
        <f>MIN($E60-SUM($F60:G60),$E60*$E$57)</f>
        <v>0.75453599999999998</v>
      </c>
      <c r="I60" s="147">
        <f>MIN($E60-SUM($F60:H60),$E60*$E$57)</f>
        <v>0.75453599999999998</v>
      </c>
      <c r="J60" s="147">
        <f>MIN($E60-SUM($F60:I60),$E60*$E$57)</f>
        <v>0.75453599999999998</v>
      </c>
      <c r="K60" s="147">
        <f>MIN($E60-SUM($F60:J60),$E60*$E$57)</f>
        <v>0.75453599999999998</v>
      </c>
      <c r="L60" s="147">
        <f>MIN($E60-SUM($F60:K60),$E60*$E$57)</f>
        <v>0.75453599999999998</v>
      </c>
      <c r="M60" s="147">
        <f>MIN($E60-SUM($F60:L60),$E60*$E$57)</f>
        <v>0.75453599999999998</v>
      </c>
      <c r="N60" s="147">
        <f>MIN($E60-SUM($F60:M60),$E60*$E$57)</f>
        <v>0.75453599999999998</v>
      </c>
      <c r="O60" s="147">
        <f>MIN($E60-SUM($F60:N60),$E60*$E$57)</f>
        <v>0.75453599999999998</v>
      </c>
      <c r="P60" s="147">
        <f>MIN($E60-SUM($F60:O60),$E60*$E$57)</f>
        <v>0.75453599999999998</v>
      </c>
    </row>
    <row r="61" spans="1:16">
      <c r="A61" s="144"/>
      <c r="C61" s="147" t="s">
        <v>4</v>
      </c>
      <c r="E61" s="147">
        <v>5.87</v>
      </c>
      <c r="F61" s="147"/>
      <c r="G61" s="147"/>
      <c r="H61" s="147"/>
      <c r="I61" s="147">
        <f>MIN($E61-SUM($F61:H61),$E61*$E$57)</f>
        <v>0.37157099999999998</v>
      </c>
      <c r="J61" s="147">
        <f>MIN($E61-SUM($F61:I61),$E61*$E$57)</f>
        <v>0.37157099999999998</v>
      </c>
      <c r="K61" s="147">
        <f>MIN($E61-SUM($F61:J61),$E61*$E$57)</f>
        <v>0.37157099999999998</v>
      </c>
      <c r="L61" s="147">
        <f>MIN($E61-SUM($F61:K61),$E61*$E$57)</f>
        <v>0.37157099999999998</v>
      </c>
      <c r="M61" s="147">
        <f>MIN($E61-SUM($F61:L61),$E61*$E$57)</f>
        <v>0.37157099999999998</v>
      </c>
      <c r="N61" s="147">
        <f>MIN($E61-SUM($F61:M61),$E61*$E$57)</f>
        <v>0.37157099999999998</v>
      </c>
      <c r="O61" s="147">
        <f>MIN($E61-SUM($F61:N61),$E61*$E$57)</f>
        <v>0.37157099999999998</v>
      </c>
      <c r="P61" s="147">
        <f>MIN($E61-SUM($F61:O61),$E61*$E$57)</f>
        <v>0.37157099999999998</v>
      </c>
    </row>
    <row r="62" spans="1:16">
      <c r="A62" s="144"/>
      <c r="C62" s="147" t="s">
        <v>5</v>
      </c>
      <c r="E62" s="147">
        <v>22.07</v>
      </c>
      <c r="F62" s="147"/>
      <c r="G62" s="147"/>
      <c r="H62" s="147"/>
      <c r="I62" s="147"/>
      <c r="J62" s="147">
        <f>MIN($E62-SUM($F62:I62),$E62*$E$57)</f>
        <v>1.3970309999999999</v>
      </c>
      <c r="K62" s="147">
        <f>MIN($E62-SUM($F62:J62),$E62*$E$57)</f>
        <v>1.3970309999999999</v>
      </c>
      <c r="L62" s="147">
        <f>MIN($E62-SUM($F62:K62),$E62*$E$57)</f>
        <v>1.3970309999999999</v>
      </c>
      <c r="M62" s="147">
        <f>MIN($E62-SUM($F62:L62),$E62*$E$57)</f>
        <v>1.3970309999999999</v>
      </c>
      <c r="N62" s="147">
        <f>MIN($E62-SUM($F62:M62),$E62*$E$57)</f>
        <v>1.3970309999999999</v>
      </c>
      <c r="O62" s="147">
        <f>MIN($E62-SUM($F62:N62),$E62*$E$57)</f>
        <v>1.3970309999999999</v>
      </c>
      <c r="P62" s="147">
        <f>MIN($E62-SUM($F62:O62),$E62*$E$57)</f>
        <v>1.3970309999999999</v>
      </c>
    </row>
    <row r="63" spans="1:16">
      <c r="A63" s="144"/>
      <c r="C63" s="147" t="s">
        <v>6</v>
      </c>
      <c r="E63" s="147">
        <v>21.65</v>
      </c>
      <c r="F63" s="147"/>
      <c r="G63" s="147"/>
      <c r="H63" s="147"/>
      <c r="I63" s="147"/>
      <c r="J63" s="147"/>
      <c r="K63" s="147">
        <f>MIN($E63-SUM($F63:J63),$E63*$E$57)</f>
        <v>1.3704449999999999</v>
      </c>
      <c r="L63" s="147">
        <f>MIN($E63-SUM($F63:K63),$E63*$E$57)</f>
        <v>1.3704449999999999</v>
      </c>
      <c r="M63" s="147">
        <f>MIN($E63-SUM($F63:L63),$E63*$E$57)</f>
        <v>1.3704449999999999</v>
      </c>
      <c r="N63" s="147">
        <f>MIN($E63-SUM($F63:M63),$E63*$E$57)</f>
        <v>1.3704449999999999</v>
      </c>
      <c r="O63" s="147">
        <f>MIN($E63-SUM($F63:N63),$E63*$E$57)</f>
        <v>1.3704449999999999</v>
      </c>
      <c r="P63" s="147">
        <f>MIN($E63-SUM($F63:O63),$E63*$E$57)</f>
        <v>1.3704449999999999</v>
      </c>
    </row>
    <row r="64" spans="1:16">
      <c r="A64" s="144"/>
      <c r="C64" s="147" t="s">
        <v>8</v>
      </c>
      <c r="E64" s="147">
        <v>15</v>
      </c>
      <c r="F64" s="147"/>
      <c r="G64" s="147"/>
      <c r="H64" s="147"/>
      <c r="I64" s="147"/>
      <c r="J64" s="147"/>
      <c r="K64" s="147"/>
      <c r="L64" s="147">
        <f>MIN($E64-SUM($F64:K64),$E64*$E$57)</f>
        <v>0.9494999999999999</v>
      </c>
      <c r="M64" s="147">
        <f>MIN($E64-SUM($F64:L64),$E64*$E$57)</f>
        <v>0.9494999999999999</v>
      </c>
      <c r="N64" s="147">
        <f>MIN($E64-SUM($F64:M64),$E64*$E$57)</f>
        <v>0.9494999999999999</v>
      </c>
      <c r="O64" s="147">
        <f>MIN($E64-SUM($F64:N64),$E64*$E$57)</f>
        <v>0.9494999999999999</v>
      </c>
      <c r="P64" s="147">
        <f>MIN($E64-SUM($F64:O64),$E64*$E$57)</f>
        <v>0.9494999999999999</v>
      </c>
    </row>
    <row r="65" spans="1:16">
      <c r="A65" s="144"/>
      <c r="C65" s="147" t="s">
        <v>9</v>
      </c>
      <c r="E65" s="147">
        <v>12</v>
      </c>
      <c r="F65" s="147"/>
      <c r="G65" s="147"/>
      <c r="H65" s="147"/>
      <c r="I65" s="147"/>
      <c r="J65" s="147"/>
      <c r="K65" s="147"/>
      <c r="L65" s="147"/>
      <c r="M65" s="147">
        <f>MIN($E65-SUM($F65:L65),$E65*$E$57)</f>
        <v>0.75959999999999994</v>
      </c>
      <c r="N65" s="147">
        <f>MIN($E65-SUM($F65:M65),$E65*$E$57)</f>
        <v>0.75959999999999994</v>
      </c>
      <c r="O65" s="147">
        <f>MIN($E65-SUM($F65:N65),$E65*$E$57)</f>
        <v>0.75959999999999994</v>
      </c>
      <c r="P65" s="147">
        <f>MIN($E65-SUM($F65:O65),$E65*$E$57)</f>
        <v>0.75959999999999994</v>
      </c>
    </row>
    <row r="66" spans="1:16">
      <c r="A66" s="144"/>
      <c r="C66" s="147" t="s">
        <v>10</v>
      </c>
      <c r="E66" s="147">
        <v>10</v>
      </c>
      <c r="F66" s="147"/>
      <c r="G66" s="147"/>
      <c r="H66" s="147"/>
      <c r="I66" s="147"/>
      <c r="J66" s="147"/>
      <c r="K66" s="147"/>
      <c r="L66" s="147"/>
      <c r="M66" s="147"/>
      <c r="N66" s="147">
        <f>MIN($E66-SUM($F66:M66),$E66*$E$57)</f>
        <v>0.63300000000000001</v>
      </c>
      <c r="O66" s="147">
        <f>MIN($E66-SUM($F66:N66),$E66*$E$57)</f>
        <v>0.63300000000000001</v>
      </c>
      <c r="P66" s="147">
        <f>MIN($E66-SUM($F66:O66),$E66*$E$57)</f>
        <v>0.63300000000000001</v>
      </c>
    </row>
    <row r="67" spans="1:16">
      <c r="A67" s="144"/>
      <c r="C67" s="147" t="s">
        <v>11</v>
      </c>
      <c r="E67" s="147">
        <v>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>
        <f>MIN($E67-SUM($F67:N67),$E67*$E$57)</f>
        <v>0.50639999999999996</v>
      </c>
      <c r="P67" s="147">
        <f>MIN($E67-SUM($F67:O67),$E67*$E$57)</f>
        <v>0.50639999999999996</v>
      </c>
    </row>
    <row r="68" spans="1:16">
      <c r="A68" s="144"/>
      <c r="C68" s="147" t="s">
        <v>12</v>
      </c>
      <c r="E68" s="147">
        <v>6</v>
      </c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>
        <f>MIN($E68-SUM($F68:O68),$E68*$E$57)</f>
        <v>0.37979999999999997</v>
      </c>
    </row>
    <row r="69" spans="1:16" s="141" customFormat="1">
      <c r="A69" s="157"/>
      <c r="C69" s="176" t="s">
        <v>68</v>
      </c>
      <c r="D69" s="167"/>
      <c r="E69" s="166"/>
      <c r="F69" s="166"/>
      <c r="G69" s="166">
        <f>SUM(G59:G68)</f>
        <v>3.4378229999999999</v>
      </c>
      <c r="H69" s="166">
        <f t="shared" ref="H69:J69" si="13">SUM(H59:H68)</f>
        <v>4.1923589999999997</v>
      </c>
      <c r="I69" s="166">
        <f t="shared" si="13"/>
        <v>4.56393</v>
      </c>
      <c r="J69" s="166">
        <f t="shared" si="13"/>
        <v>5.9609610000000002</v>
      </c>
      <c r="K69" s="166">
        <f>SUM(K59:K68)</f>
        <v>7.3314060000000003</v>
      </c>
      <c r="L69" s="166">
        <f t="shared" ref="L69:P69" si="14">SUM(L59:L68)</f>
        <v>8.2809059999999999</v>
      </c>
      <c r="M69" s="166">
        <f t="shared" si="14"/>
        <v>9.0405060000000006</v>
      </c>
      <c r="N69" s="166">
        <f t="shared" si="14"/>
        <v>9.6735059999999997</v>
      </c>
      <c r="O69" s="166">
        <f t="shared" si="14"/>
        <v>10.179905999999999</v>
      </c>
      <c r="P69" s="166">
        <f t="shared" si="14"/>
        <v>10.559705999999998</v>
      </c>
    </row>
    <row r="70" spans="1:16" s="141" customFormat="1">
      <c r="A70" s="141" t="s">
        <v>231</v>
      </c>
      <c r="D70" s="143"/>
      <c r="E70" s="294">
        <v>0.15</v>
      </c>
      <c r="F70" s="293"/>
    </row>
    <row r="71" spans="1:16" s="141" customFormat="1">
      <c r="A71" s="157"/>
      <c r="B71" s="141" t="s">
        <v>67</v>
      </c>
      <c r="D71" s="143"/>
    </row>
    <row r="72" spans="1:16">
      <c r="A72" s="144"/>
      <c r="C72" s="147" t="s">
        <v>2</v>
      </c>
      <c r="E72" s="147">
        <f t="array" ref="E72:E81">TRANSPOSE(G54:P54)</f>
        <v>54.31</v>
      </c>
      <c r="F72" s="147"/>
      <c r="G72" s="147">
        <f>($E72-SUM($F72:F72))*$E$70</f>
        <v>8.1464999999999996</v>
      </c>
      <c r="H72" s="147">
        <f>($E72-SUM($F72:G72))*$E$70</f>
        <v>6.924525</v>
      </c>
      <c r="I72" s="147">
        <f>($E72-SUM($F72:H72))*$E$70</f>
        <v>5.8858462500000002</v>
      </c>
      <c r="J72" s="147">
        <f>($E72-SUM($F72:I72))*$E$70</f>
        <v>5.0029693125000003</v>
      </c>
      <c r="K72" s="147">
        <f>($E72-SUM($F72:J72))*$E$70</f>
        <v>4.2525239156250008</v>
      </c>
      <c r="L72" s="147">
        <f>($E72-SUM($F72:K72))*$E$70</f>
        <v>3.6146453282812501</v>
      </c>
      <c r="M72" s="147">
        <f>($E72-SUM($F72:L72))*$E$70</f>
        <v>3.0724485290390624</v>
      </c>
      <c r="N72" s="147">
        <f>($E72-SUM($F72:M72))*$E$70</f>
        <v>2.6115812496832027</v>
      </c>
      <c r="O72" s="147">
        <f>($E72-SUM($F72:N72))*$E$70</f>
        <v>2.2198440622307221</v>
      </c>
      <c r="P72" s="147">
        <f>($E72-SUM($F72:O72))*$E$38</f>
        <v>1.257911635264076</v>
      </c>
    </row>
    <row r="73" spans="1:16">
      <c r="A73" s="144"/>
      <c r="C73" s="147" t="s">
        <v>3</v>
      </c>
      <c r="E73" s="147">
        <v>11.92</v>
      </c>
      <c r="F73" s="147"/>
      <c r="G73" s="147"/>
      <c r="H73" s="147">
        <f>($E73-SUM($F73:G73))*$E$70</f>
        <v>1.788</v>
      </c>
      <c r="I73" s="147">
        <f>($E73-SUM($F73:H73))*$E$70</f>
        <v>1.5197999999999998</v>
      </c>
      <c r="J73" s="147">
        <f>($E73-SUM($F73:I73))*$E$70</f>
        <v>1.2918299999999998</v>
      </c>
      <c r="K73" s="147">
        <f>($E73-SUM($F73:J73))*$E$70</f>
        <v>1.0980555000000001</v>
      </c>
      <c r="L73" s="147">
        <f>($E73-SUM($F73:K73))*$E$70</f>
        <v>0.93334717499999997</v>
      </c>
      <c r="M73" s="147">
        <f>($E73-SUM($F73:L73))*$E$70</f>
        <v>0.79334509875000003</v>
      </c>
      <c r="N73" s="147">
        <f>($E73-SUM($F73:M73))*$E$70</f>
        <v>0.67434333393750012</v>
      </c>
      <c r="O73" s="147">
        <f>($E73-SUM($F73:N73))*$E$70</f>
        <v>0.57319183384687511</v>
      </c>
      <c r="P73" s="147">
        <f>($E73-SUM($F73:O73))*$E$70</f>
        <v>0.48721305876984378</v>
      </c>
    </row>
    <row r="74" spans="1:16">
      <c r="A74" s="144"/>
      <c r="C74" s="147" t="s">
        <v>4</v>
      </c>
      <c r="E74" s="147">
        <v>5.87</v>
      </c>
      <c r="F74" s="147"/>
      <c r="G74" s="147"/>
      <c r="H74" s="147"/>
      <c r="I74" s="147">
        <f>($E74-SUM($F74:H74))*$E$70</f>
        <v>0.88049999999999995</v>
      </c>
      <c r="J74" s="147">
        <f>($E74-SUM($F74:I74))*$E$70</f>
        <v>0.74842500000000001</v>
      </c>
      <c r="K74" s="147">
        <f>($E74-SUM($F74:J74))*$E$70</f>
        <v>0.63616125000000001</v>
      </c>
      <c r="L74" s="147">
        <f>($E74-SUM($F74:K74))*$E$70</f>
        <v>0.54073706249999998</v>
      </c>
      <c r="M74" s="147">
        <f>($E74-SUM($F74:L74))*$E$70</f>
        <v>0.45962650312500003</v>
      </c>
      <c r="N74" s="147">
        <f>($E74-SUM($F74:M74))*$E$70</f>
        <v>0.39068252765625006</v>
      </c>
      <c r="O74" s="147">
        <f>($E74-SUM($F74:N74))*$E$38</f>
        <v>0.22138676567187501</v>
      </c>
      <c r="P74" s="147">
        <f>($E74-SUM($F74:O74))*$E$38</f>
        <v>0.1992480891046875</v>
      </c>
    </row>
    <row r="75" spans="1:16">
      <c r="A75" s="144"/>
      <c r="C75" s="147" t="s">
        <v>5</v>
      </c>
      <c r="E75" s="147">
        <v>22.07</v>
      </c>
      <c r="F75" s="147"/>
      <c r="G75" s="147"/>
      <c r="H75" s="147"/>
      <c r="I75" s="147"/>
      <c r="J75" s="147">
        <f>($E75-SUM($F75:I75))*$E$70</f>
        <v>3.3104999999999998</v>
      </c>
      <c r="K75" s="147">
        <f>($E75-SUM($F75:J75))*$E$70</f>
        <v>2.8139249999999998</v>
      </c>
      <c r="L75" s="147">
        <f>($E75-SUM($F75:K75))*$E$70</f>
        <v>2.3918362500000003</v>
      </c>
      <c r="M75" s="147">
        <f>($E75-SUM($F75:L75))*$E$70</f>
        <v>2.0330608125</v>
      </c>
      <c r="N75" s="147">
        <f>($E75-SUM($F75:M75))*$E$70</f>
        <v>1.728101690625</v>
      </c>
      <c r="O75" s="147">
        <f>($E75-SUM($F75:N75))*$E$38</f>
        <v>0.97925762468750011</v>
      </c>
      <c r="P75" s="147">
        <f>($E75-SUM($F75:O75))*$E$38</f>
        <v>0.88133186221875004</v>
      </c>
    </row>
    <row r="76" spans="1:16">
      <c r="A76" s="144"/>
      <c r="C76" s="147" t="s">
        <v>6</v>
      </c>
      <c r="E76" s="147">
        <v>21.65</v>
      </c>
      <c r="F76" s="147"/>
      <c r="G76" s="147"/>
      <c r="H76" s="147"/>
      <c r="I76" s="147"/>
      <c r="J76" s="147"/>
      <c r="K76" s="147">
        <f>($E76-SUM($F76:J76))*$E$70</f>
        <v>3.2474999999999996</v>
      </c>
      <c r="L76" s="147">
        <f>($E76-SUM($F76:K76))*$E$70</f>
        <v>2.7603749999999998</v>
      </c>
      <c r="M76" s="147">
        <f>($E76-SUM($F76:L76))*$E$70</f>
        <v>2.34631875</v>
      </c>
      <c r="N76" s="147">
        <f>($E76-SUM($F76:M76))*$E$70</f>
        <v>1.9943709374999996</v>
      </c>
      <c r="O76" s="147">
        <f>($E76-SUM($F76:N76))*$E$38</f>
        <v>1.1301435312499999</v>
      </c>
      <c r="P76" s="147">
        <f>($E76-SUM($F76:O76))*$E$38</f>
        <v>1.0171291781249998</v>
      </c>
    </row>
    <row r="77" spans="1:16">
      <c r="A77" s="144"/>
      <c r="C77" s="147" t="s">
        <v>8</v>
      </c>
      <c r="E77" s="147">
        <v>15</v>
      </c>
      <c r="F77" s="147"/>
      <c r="G77" s="147"/>
      <c r="H77" s="147"/>
      <c r="I77" s="147"/>
      <c r="J77" s="147"/>
      <c r="K77" s="147"/>
      <c r="L77" s="147">
        <f>($E77-SUM($F77:K77))*$E$70</f>
        <v>2.25</v>
      </c>
      <c r="M77" s="147">
        <f>($E77-SUM($F77:L77))*$E$70</f>
        <v>1.9124999999999999</v>
      </c>
      <c r="N77" s="147">
        <f>($E77-SUM($F77:M77))*$E$70</f>
        <v>1.6256250000000001</v>
      </c>
      <c r="O77" s="147">
        <f>($E77-SUM($F77:N77))*$E$38</f>
        <v>0.92118749999999994</v>
      </c>
      <c r="P77" s="147">
        <f>($E77-SUM($F77:O77))*$E$38</f>
        <v>0.82906875000000013</v>
      </c>
    </row>
    <row r="78" spans="1:16">
      <c r="A78" s="144"/>
      <c r="C78" s="147" t="s">
        <v>9</v>
      </c>
      <c r="E78" s="147">
        <v>12</v>
      </c>
      <c r="F78" s="147"/>
      <c r="G78" s="147"/>
      <c r="H78" s="147"/>
      <c r="I78" s="147"/>
      <c r="J78" s="147"/>
      <c r="K78" s="147"/>
      <c r="L78" s="147"/>
      <c r="M78" s="147">
        <f>($E78-SUM($F78:L78))*$E$70</f>
        <v>1.7999999999999998</v>
      </c>
      <c r="N78" s="147">
        <f>($E78-SUM($F78:M78))*$E$70</f>
        <v>1.5299999999999998</v>
      </c>
      <c r="O78" s="147">
        <f>($E78-SUM($F78:N78))*$E$38</f>
        <v>0.86699999999999999</v>
      </c>
      <c r="P78" s="147">
        <f>($E78-SUM($F78:O78))*$E$38</f>
        <v>0.7803000000000001</v>
      </c>
    </row>
    <row r="79" spans="1:16">
      <c r="A79" s="144"/>
      <c r="C79" s="147" t="s">
        <v>10</v>
      </c>
      <c r="E79" s="147">
        <v>10</v>
      </c>
      <c r="F79" s="147"/>
      <c r="G79" s="147"/>
      <c r="H79" s="147"/>
      <c r="I79" s="147"/>
      <c r="J79" s="147"/>
      <c r="K79" s="147"/>
      <c r="L79" s="147"/>
      <c r="M79" s="147"/>
      <c r="N79" s="147">
        <f>($E79-SUM($F79:M79))*$E$70</f>
        <v>1.5</v>
      </c>
      <c r="O79" s="147">
        <f>($E79-SUM($F79:N79))*$E$38</f>
        <v>0.85000000000000009</v>
      </c>
      <c r="P79" s="147">
        <f>($E79-SUM($F79:O79))*$E$38</f>
        <v>0.76500000000000012</v>
      </c>
    </row>
    <row r="80" spans="1:16">
      <c r="A80" s="144"/>
      <c r="C80" s="147" t="s">
        <v>11</v>
      </c>
      <c r="E80" s="147">
        <v>8</v>
      </c>
      <c r="F80" s="147"/>
      <c r="G80" s="147"/>
      <c r="H80" s="147"/>
      <c r="I80" s="147"/>
      <c r="J80" s="147"/>
      <c r="K80" s="147"/>
      <c r="L80" s="147"/>
      <c r="M80" s="147"/>
      <c r="N80" s="147"/>
      <c r="O80" s="147">
        <f>($E80-SUM($F80:N80))*$E$38</f>
        <v>0.8</v>
      </c>
      <c r="P80" s="147">
        <f>($E80-SUM($F80:O80))*$E$38</f>
        <v>0.72000000000000008</v>
      </c>
    </row>
    <row r="81" spans="1:16">
      <c r="A81" s="144"/>
      <c r="C81" s="147" t="s">
        <v>12</v>
      </c>
      <c r="E81" s="147">
        <v>6</v>
      </c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>
        <f>($E81-SUM($F81:O81))*$E$38</f>
        <v>0.60000000000000009</v>
      </c>
    </row>
    <row r="82" spans="1:16" s="141" customFormat="1">
      <c r="A82" s="157"/>
      <c r="C82" s="176" t="s">
        <v>68</v>
      </c>
      <c r="D82" s="167"/>
      <c r="E82" s="166"/>
      <c r="F82" s="166"/>
      <c r="G82" s="166">
        <f>SUM(G72:G81)</f>
        <v>8.1464999999999996</v>
      </c>
      <c r="H82" s="166">
        <f t="shared" ref="H82:P82" si="15">SUM(H72:H81)</f>
        <v>8.7125249999999994</v>
      </c>
      <c r="I82" s="166">
        <f t="shared" si="15"/>
        <v>8.2861462499999998</v>
      </c>
      <c r="J82" s="166">
        <f t="shared" si="15"/>
        <v>10.353724312500001</v>
      </c>
      <c r="K82" s="166">
        <f t="shared" si="15"/>
        <v>12.048165665625</v>
      </c>
      <c r="L82" s="166">
        <f t="shared" si="15"/>
        <v>12.490940815781251</v>
      </c>
      <c r="M82" s="166">
        <f t="shared" si="15"/>
        <v>12.417299693414062</v>
      </c>
      <c r="N82" s="166">
        <f t="shared" si="15"/>
        <v>12.054704739401952</v>
      </c>
      <c r="O82" s="166">
        <f t="shared" si="15"/>
        <v>8.5620113176869737</v>
      </c>
      <c r="P82" s="166">
        <f t="shared" si="15"/>
        <v>7.5372025734823573</v>
      </c>
    </row>
    <row r="83" spans="1:16">
      <c r="A83" s="141"/>
      <c r="B83" s="291" t="s">
        <v>36</v>
      </c>
      <c r="C83" s="142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</row>
    <row r="84" spans="1:16">
      <c r="A84" s="144"/>
      <c r="B84" s="141" t="s">
        <v>40</v>
      </c>
      <c r="C84" s="142"/>
      <c r="G84" s="147"/>
      <c r="H84" s="147"/>
      <c r="I84" s="147"/>
      <c r="J84" s="147"/>
      <c r="K84" s="147"/>
      <c r="L84" s="147"/>
      <c r="M84" s="147"/>
      <c r="N84" s="147"/>
      <c r="O84" s="147"/>
      <c r="P84" s="147"/>
    </row>
    <row r="85" spans="1:16">
      <c r="A85" s="144"/>
      <c r="C85" s="142" t="s">
        <v>62</v>
      </c>
      <c r="G85" s="146">
        <v>0</v>
      </c>
      <c r="H85" s="147">
        <f>G88</f>
        <v>26.49</v>
      </c>
      <c r="I85" s="147">
        <f t="shared" ref="I85" si="16">H88</f>
        <v>28.27</v>
      </c>
      <c r="J85" s="147">
        <f t="shared" ref="J85" si="17">I88</f>
        <v>34.14</v>
      </c>
      <c r="K85" s="147">
        <f t="shared" ref="K85" si="18">J88</f>
        <v>39.89</v>
      </c>
      <c r="L85" s="147">
        <f t="shared" ref="L85" si="19">K88</f>
        <v>46.55</v>
      </c>
      <c r="M85" s="147">
        <f t="shared" ref="M85" si="20">L88</f>
        <v>51.55</v>
      </c>
      <c r="N85" s="147">
        <f t="shared" ref="N85" si="21">M88</f>
        <v>55.55</v>
      </c>
      <c r="O85" s="147">
        <f t="shared" ref="O85" si="22">N88</f>
        <v>58.55</v>
      </c>
      <c r="P85" s="147">
        <f t="shared" ref="P85" si="23">O88</f>
        <v>60.55</v>
      </c>
    </row>
    <row r="86" spans="1:16">
      <c r="A86" s="144"/>
      <c r="C86" s="142" t="s">
        <v>63</v>
      </c>
      <c r="G86" s="147">
        <f t="shared" ref="G86:P86" si="24">G8</f>
        <v>26.49</v>
      </c>
      <c r="H86" s="147">
        <f t="shared" si="24"/>
        <v>1.78</v>
      </c>
      <c r="I86" s="147">
        <f t="shared" si="24"/>
        <v>5.87</v>
      </c>
      <c r="J86" s="147">
        <f t="shared" si="24"/>
        <v>5.75</v>
      </c>
      <c r="K86" s="147">
        <f t="shared" si="24"/>
        <v>6.66</v>
      </c>
      <c r="L86" s="147">
        <f t="shared" si="24"/>
        <v>5</v>
      </c>
      <c r="M86" s="147">
        <f t="shared" si="24"/>
        <v>4</v>
      </c>
      <c r="N86" s="147">
        <f t="shared" si="24"/>
        <v>3</v>
      </c>
      <c r="O86" s="147">
        <f t="shared" si="24"/>
        <v>2</v>
      </c>
      <c r="P86" s="147">
        <f t="shared" si="24"/>
        <v>2</v>
      </c>
    </row>
    <row r="87" spans="1:16">
      <c r="A87" s="144"/>
      <c r="C87" s="142" t="s">
        <v>64</v>
      </c>
      <c r="G87" s="147">
        <v>0</v>
      </c>
      <c r="H87" s="147">
        <v>0</v>
      </c>
      <c r="I87" s="147">
        <v>0</v>
      </c>
      <c r="J87" s="147">
        <v>0</v>
      </c>
      <c r="K87" s="147">
        <v>0</v>
      </c>
      <c r="L87" s="147">
        <v>0</v>
      </c>
      <c r="M87" s="147">
        <v>0</v>
      </c>
      <c r="N87" s="147">
        <v>0</v>
      </c>
      <c r="O87" s="147">
        <v>0</v>
      </c>
      <c r="P87" s="147">
        <v>0</v>
      </c>
    </row>
    <row r="88" spans="1:16" s="141" customFormat="1">
      <c r="A88" s="157"/>
      <c r="C88" s="166" t="s">
        <v>65</v>
      </c>
      <c r="D88" s="167"/>
      <c r="E88" s="166"/>
      <c r="F88" s="166"/>
      <c r="G88" s="176">
        <f>G85+G86-G87</f>
        <v>26.49</v>
      </c>
      <c r="H88" s="176">
        <f>H85+H86-H87</f>
        <v>28.27</v>
      </c>
      <c r="I88" s="176">
        <f t="shared" ref="I88:P88" si="25">I85+I86-I87</f>
        <v>34.14</v>
      </c>
      <c r="J88" s="176">
        <f t="shared" si="25"/>
        <v>39.89</v>
      </c>
      <c r="K88" s="176">
        <f t="shared" si="25"/>
        <v>46.55</v>
      </c>
      <c r="L88" s="176">
        <f t="shared" si="25"/>
        <v>51.55</v>
      </c>
      <c r="M88" s="176">
        <f t="shared" si="25"/>
        <v>55.55</v>
      </c>
      <c r="N88" s="176">
        <f t="shared" si="25"/>
        <v>58.55</v>
      </c>
      <c r="O88" s="176">
        <f t="shared" si="25"/>
        <v>60.55</v>
      </c>
      <c r="P88" s="176">
        <f t="shared" si="25"/>
        <v>62.55</v>
      </c>
    </row>
    <row r="89" spans="1:16" s="141" customFormat="1">
      <c r="A89" s="141" t="s">
        <v>66</v>
      </c>
      <c r="D89" s="143"/>
      <c r="E89" s="292">
        <v>0.31669999999999998</v>
      </c>
      <c r="F89" s="293"/>
    </row>
    <row r="90" spans="1:16" s="141" customFormat="1">
      <c r="A90" s="157"/>
      <c r="B90" s="141" t="s">
        <v>67</v>
      </c>
      <c r="D90" s="143"/>
    </row>
    <row r="91" spans="1:16">
      <c r="A91" s="144"/>
      <c r="C91" s="147" t="s">
        <v>2</v>
      </c>
      <c r="E91" s="147">
        <f t="array" ref="E91:E100">TRANSPOSE(G86:P86)</f>
        <v>26.49</v>
      </c>
      <c r="F91" s="147"/>
      <c r="G91" s="147">
        <f>MIN($E91-SUM($F91:F91),$E91*$E$57)</f>
        <v>1.6768169999999998</v>
      </c>
      <c r="H91" s="147">
        <f>MIN($E91-SUM($F91:G91),$E91*$E$57)</f>
        <v>1.6768169999999998</v>
      </c>
      <c r="I91" s="147">
        <f>MIN($E91-SUM($F91:H91),$E91*$E$57)</f>
        <v>1.6768169999999998</v>
      </c>
      <c r="J91" s="147">
        <f>MIN($E91-SUM($F91:I91),$E91*$E$57)</f>
        <v>1.6768169999999998</v>
      </c>
      <c r="K91" s="147">
        <f>MIN($E91-SUM($F91:J91),$E91*$E$57)</f>
        <v>1.6768169999999998</v>
      </c>
      <c r="L91" s="147">
        <f>MIN($E91-SUM($F91:K91),$E91*$E$57)</f>
        <v>1.6768169999999998</v>
      </c>
      <c r="M91" s="147">
        <f>MIN($E91-SUM($F91:L91),$E91*$E$57)</f>
        <v>1.6768169999999998</v>
      </c>
      <c r="N91" s="147">
        <f>MIN($E91-SUM($F91:M91),$E91*$E$57)</f>
        <v>1.6768169999999998</v>
      </c>
      <c r="O91" s="147">
        <f>MIN($E91-SUM($F91:N91),$E91*$E$57)</f>
        <v>1.6768169999999998</v>
      </c>
      <c r="P91" s="147">
        <f>MIN($E91-SUM($F91:O91),$E91*$E$57)</f>
        <v>1.6768169999999998</v>
      </c>
    </row>
    <row r="92" spans="1:16">
      <c r="A92" s="144"/>
      <c r="C92" s="147" t="s">
        <v>3</v>
      </c>
      <c r="E92" s="147">
        <v>1.78</v>
      </c>
      <c r="F92" s="147"/>
      <c r="G92" s="147"/>
      <c r="H92" s="147">
        <f>MIN($E92-SUM($F92:G92),$E92*$E$57)</f>
        <v>0.112674</v>
      </c>
      <c r="I92" s="147">
        <f>MIN($E92-SUM($F92:H92),$E92*$E$57)</f>
        <v>0.112674</v>
      </c>
      <c r="J92" s="147">
        <f>MIN($E92-SUM($F92:I92),$E92*$E$57)</f>
        <v>0.112674</v>
      </c>
      <c r="K92" s="147">
        <f>MIN($E92-SUM($F92:J92),$E92*$E$57)</f>
        <v>0.112674</v>
      </c>
      <c r="L92" s="147">
        <f>MIN($E92-SUM($F92:K92),$E92*$E$57)</f>
        <v>0.112674</v>
      </c>
      <c r="M92" s="147">
        <f>MIN($E92-SUM($F92:L92),$E92*$E$57)</f>
        <v>0.112674</v>
      </c>
      <c r="N92" s="147">
        <f>MIN($E92-SUM($F92:M92),$E92*$E$57)</f>
        <v>0.112674</v>
      </c>
      <c r="O92" s="147">
        <f>MIN($E92-SUM($F92:N92),$E92*$E$57)</f>
        <v>0.112674</v>
      </c>
      <c r="P92" s="147">
        <f>MIN($E92-SUM($F92:O92),$E92*$E$57)</f>
        <v>0.112674</v>
      </c>
    </row>
    <row r="93" spans="1:16">
      <c r="A93" s="144"/>
      <c r="C93" s="147" t="s">
        <v>4</v>
      </c>
      <c r="E93" s="147">
        <v>5.87</v>
      </c>
      <c r="F93" s="147"/>
      <c r="G93" s="147"/>
      <c r="H93" s="147"/>
      <c r="I93" s="147">
        <f>MIN($E93-SUM($F93:H93),$E93*$E$57)</f>
        <v>0.37157099999999998</v>
      </c>
      <c r="J93" s="147">
        <f>MIN($E93-SUM($F93:I93),$E93*$E$57)</f>
        <v>0.37157099999999998</v>
      </c>
      <c r="K93" s="147">
        <f>MIN($E93-SUM($F93:J93),$E93*$E$57)</f>
        <v>0.37157099999999998</v>
      </c>
      <c r="L93" s="147">
        <f>MIN($E93-SUM($F93:K93),$E93*$E$57)</f>
        <v>0.37157099999999998</v>
      </c>
      <c r="M93" s="147">
        <f>MIN($E93-SUM($F93:L93),$E93*$E$57)</f>
        <v>0.37157099999999998</v>
      </c>
      <c r="N93" s="147">
        <f>MIN($E93-SUM($F93:M93),$E93*$E$57)</f>
        <v>0.37157099999999998</v>
      </c>
      <c r="O93" s="147">
        <f>MIN($E93-SUM($F93:N93),$E93*$E$57)</f>
        <v>0.37157099999999998</v>
      </c>
      <c r="P93" s="147">
        <f>MIN($E93-SUM($F93:O93),$E93*$E$57)</f>
        <v>0.37157099999999998</v>
      </c>
    </row>
    <row r="94" spans="1:16">
      <c r="A94" s="144"/>
      <c r="C94" s="147" t="s">
        <v>5</v>
      </c>
      <c r="E94" s="147">
        <v>5.75</v>
      </c>
      <c r="F94" s="147"/>
      <c r="G94" s="147"/>
      <c r="H94" s="147"/>
      <c r="I94" s="147"/>
      <c r="J94" s="147">
        <f>MIN($E94-SUM($F94:I94),$E94*$E$57)</f>
        <v>0.36397499999999999</v>
      </c>
      <c r="K94" s="147">
        <f>MIN($E94-SUM($F94:J94),$E94*$E$57)</f>
        <v>0.36397499999999999</v>
      </c>
      <c r="L94" s="147">
        <f>MIN($E94-SUM($F94:K94),$E94*$E$57)</f>
        <v>0.36397499999999999</v>
      </c>
      <c r="M94" s="147">
        <f>MIN($E94-SUM($F94:L94),$E94*$E$57)</f>
        <v>0.36397499999999999</v>
      </c>
      <c r="N94" s="147">
        <f>MIN($E94-SUM($F94:M94),$E94*$E$57)</f>
        <v>0.36397499999999999</v>
      </c>
      <c r="O94" s="147">
        <f>MIN($E94-SUM($F94:N94),$E94*$E$57)</f>
        <v>0.36397499999999999</v>
      </c>
      <c r="P94" s="147">
        <f>MIN($E94-SUM($F94:O94),$E94*$E$57)</f>
        <v>0.36397499999999999</v>
      </c>
    </row>
    <row r="95" spans="1:16">
      <c r="A95" s="144"/>
      <c r="C95" s="147" t="s">
        <v>6</v>
      </c>
      <c r="E95" s="147">
        <v>6.66</v>
      </c>
      <c r="F95" s="147"/>
      <c r="G95" s="147"/>
      <c r="H95" s="147"/>
      <c r="I95" s="147"/>
      <c r="J95" s="147"/>
      <c r="K95" s="147">
        <f>MIN($E95-SUM($F95:J95),$E95*$E$57)</f>
        <v>0.42157799999999995</v>
      </c>
      <c r="L95" s="147">
        <f>MIN($E95-SUM($F95:K95),$E95*$E$57)</f>
        <v>0.42157799999999995</v>
      </c>
      <c r="M95" s="147">
        <f>MIN($E95-SUM($F95:L95),$E95*$E$57)</f>
        <v>0.42157799999999995</v>
      </c>
      <c r="N95" s="147">
        <f>MIN($E95-SUM($F95:M95),$E95*$E$57)</f>
        <v>0.42157799999999995</v>
      </c>
      <c r="O95" s="147">
        <f>MIN($E95-SUM($F95:N95),$E95*$E$57)</f>
        <v>0.42157799999999995</v>
      </c>
      <c r="P95" s="147">
        <f>MIN($E95-SUM($F95:O95),$E95*$E$57)</f>
        <v>0.42157799999999995</v>
      </c>
    </row>
    <row r="96" spans="1:16">
      <c r="A96" s="144"/>
      <c r="C96" s="147" t="s">
        <v>8</v>
      </c>
      <c r="E96" s="147">
        <v>5</v>
      </c>
      <c r="F96" s="147"/>
      <c r="G96" s="147"/>
      <c r="H96" s="147"/>
      <c r="I96" s="147"/>
      <c r="J96" s="147"/>
      <c r="K96" s="147"/>
      <c r="L96" s="147">
        <f>MIN($E96-SUM($F96:K96),$E96*$E$57)</f>
        <v>0.3165</v>
      </c>
      <c r="M96" s="147">
        <f>MIN($E96-SUM($F96:L96),$E96*$E$57)</f>
        <v>0.3165</v>
      </c>
      <c r="N96" s="147">
        <f>MIN($E96-SUM($F96:M96),$E96*$E$57)</f>
        <v>0.3165</v>
      </c>
      <c r="O96" s="147">
        <f>MIN($E96-SUM($F96:N96),$E96*$E$57)</f>
        <v>0.3165</v>
      </c>
      <c r="P96" s="147">
        <f>MIN($E96-SUM($F96:O96),$E96*$E$57)</f>
        <v>0.3165</v>
      </c>
    </row>
    <row r="97" spans="1:16">
      <c r="A97" s="144"/>
      <c r="C97" s="147" t="s">
        <v>9</v>
      </c>
      <c r="E97" s="147">
        <v>4</v>
      </c>
      <c r="F97" s="147"/>
      <c r="G97" s="147"/>
      <c r="H97" s="147"/>
      <c r="I97" s="147"/>
      <c r="J97" s="147"/>
      <c r="K97" s="147"/>
      <c r="L97" s="147"/>
      <c r="M97" s="147">
        <f>MIN($E97-SUM($F97:L97),$E97*$E$57)</f>
        <v>0.25319999999999998</v>
      </c>
      <c r="N97" s="147">
        <f>MIN($E97-SUM($F97:M97),$E97*$E$57)</f>
        <v>0.25319999999999998</v>
      </c>
      <c r="O97" s="147">
        <f>MIN($E97-SUM($F97:N97),$E97*$E$57)</f>
        <v>0.25319999999999998</v>
      </c>
      <c r="P97" s="147">
        <f>MIN($E97-SUM($F97:O97),$E97*$E$57)</f>
        <v>0.25319999999999998</v>
      </c>
    </row>
    <row r="98" spans="1:16">
      <c r="A98" s="144"/>
      <c r="C98" s="147" t="s">
        <v>10</v>
      </c>
      <c r="E98" s="147">
        <v>3</v>
      </c>
      <c r="F98" s="147"/>
      <c r="G98" s="147"/>
      <c r="H98" s="147"/>
      <c r="I98" s="147"/>
      <c r="J98" s="147"/>
      <c r="K98" s="147"/>
      <c r="L98" s="147"/>
      <c r="M98" s="147"/>
      <c r="N98" s="147">
        <f>MIN($E98-SUM($F98:M98),$E98*$E$57)</f>
        <v>0.18989999999999999</v>
      </c>
      <c r="O98" s="147">
        <f>MIN($E98-SUM($F98:N98),$E98*$E$57)</f>
        <v>0.18989999999999999</v>
      </c>
      <c r="P98" s="147">
        <f>MIN($E98-SUM($F98:O98),$E98*$E$57)</f>
        <v>0.18989999999999999</v>
      </c>
    </row>
    <row r="99" spans="1:16">
      <c r="A99" s="144"/>
      <c r="C99" s="147" t="s">
        <v>11</v>
      </c>
      <c r="E99" s="147">
        <v>2</v>
      </c>
      <c r="F99" s="147"/>
      <c r="G99" s="147"/>
      <c r="H99" s="147"/>
      <c r="I99" s="147"/>
      <c r="J99" s="147"/>
      <c r="K99" s="147"/>
      <c r="L99" s="147"/>
      <c r="M99" s="147"/>
      <c r="N99" s="147"/>
      <c r="O99" s="147">
        <f>MIN($E99-SUM($F99:N99),$E99*$E$57)</f>
        <v>0.12659999999999999</v>
      </c>
      <c r="P99" s="147">
        <f>MIN($E99-SUM($F99:O99),$E99*$E$57)</f>
        <v>0.12659999999999999</v>
      </c>
    </row>
    <row r="100" spans="1:16">
      <c r="A100" s="144"/>
      <c r="C100" s="147" t="s">
        <v>12</v>
      </c>
      <c r="E100" s="147">
        <v>2</v>
      </c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>
        <f>MIN($E100-SUM($F100:O100),$E100*$E$57)</f>
        <v>0.12659999999999999</v>
      </c>
    </row>
    <row r="101" spans="1:16" s="141" customFormat="1">
      <c r="A101" s="157"/>
      <c r="C101" s="176" t="s">
        <v>68</v>
      </c>
      <c r="D101" s="167"/>
      <c r="E101" s="166"/>
      <c r="F101" s="166"/>
      <c r="G101" s="166">
        <f>SUM(G91:G100)</f>
        <v>1.6768169999999998</v>
      </c>
      <c r="H101" s="166">
        <f t="shared" ref="H101:J101" si="26">SUM(H91:H100)</f>
        <v>1.7894909999999997</v>
      </c>
      <c r="I101" s="166">
        <f t="shared" si="26"/>
        <v>2.1610619999999998</v>
      </c>
      <c r="J101" s="166">
        <f t="shared" si="26"/>
        <v>2.5250369999999998</v>
      </c>
      <c r="K101" s="166">
        <f>SUM(K91:K100)</f>
        <v>2.9466149999999995</v>
      </c>
      <c r="L101" s="166">
        <f t="shared" ref="L101:P101" si="27">SUM(L91:L100)</f>
        <v>3.2631149999999995</v>
      </c>
      <c r="M101" s="166">
        <f t="shared" si="27"/>
        <v>3.5163149999999996</v>
      </c>
      <c r="N101" s="166">
        <f t="shared" si="27"/>
        <v>3.7062149999999998</v>
      </c>
      <c r="O101" s="166">
        <f t="shared" si="27"/>
        <v>3.8328149999999996</v>
      </c>
      <c r="P101" s="166">
        <f t="shared" si="27"/>
        <v>3.9594149999999995</v>
      </c>
    </row>
    <row r="102" spans="1:16" s="141" customFormat="1">
      <c r="A102" s="141" t="s">
        <v>231</v>
      </c>
      <c r="D102" s="143"/>
      <c r="E102" s="294">
        <v>0.4</v>
      </c>
      <c r="F102" s="293"/>
    </row>
    <row r="103" spans="1:16" s="141" customFormat="1">
      <c r="A103" s="157"/>
      <c r="B103" s="141" t="s">
        <v>67</v>
      </c>
      <c r="D103" s="143"/>
    </row>
    <row r="104" spans="1:16">
      <c r="A104" s="144"/>
      <c r="C104" s="147" t="s">
        <v>2</v>
      </c>
      <c r="E104" s="147">
        <f t="array" ref="E104:E113">TRANSPOSE(G86:P86)</f>
        <v>26.49</v>
      </c>
      <c r="F104" s="147"/>
      <c r="G104" s="147">
        <f>($E104-SUM($F104:F104))*$E$102</f>
        <v>10.596</v>
      </c>
      <c r="H104" s="147">
        <f>($E104-SUM($F104:G104))*$E$102</f>
        <v>6.3575999999999997</v>
      </c>
      <c r="I104" s="147">
        <f>($E104-SUM($F104:H104))*$E$102</f>
        <v>3.8145599999999988</v>
      </c>
      <c r="J104" s="147">
        <f>($E104-SUM($F104:I104))*$E$102</f>
        <v>2.2887359999999988</v>
      </c>
      <c r="K104" s="147">
        <f>($E104-SUM($F104:J104))*$E$102</f>
        <v>1.3732415999999987</v>
      </c>
      <c r="L104" s="147">
        <f>($E104-SUM($F104:K104))*$E$102</f>
        <v>0.82394495999999862</v>
      </c>
      <c r="M104" s="147">
        <f>($E104-SUM($F104:L104))*$E$102</f>
        <v>0.49436697599999918</v>
      </c>
      <c r="N104" s="147">
        <f>($E104-SUM($F104:M104))*$E$102</f>
        <v>0.29662018559999981</v>
      </c>
      <c r="O104" s="147">
        <f>($E104-SUM($F104:N104))*$E$102</f>
        <v>0.17797211136000046</v>
      </c>
      <c r="P104" s="147">
        <f>($E104-SUM($F104:O104))*$E$38</f>
        <v>2.669581670400021E-2</v>
      </c>
    </row>
    <row r="105" spans="1:16">
      <c r="A105" s="144"/>
      <c r="C105" s="147" t="s">
        <v>3</v>
      </c>
      <c r="E105" s="147">
        <v>1.78</v>
      </c>
      <c r="F105" s="147"/>
      <c r="G105" s="147"/>
      <c r="H105" s="147">
        <f>($E105-SUM($F105:G105))*$E$102</f>
        <v>0.71200000000000008</v>
      </c>
      <c r="I105" s="147">
        <f>($E105-SUM($F105:H105))*$E$102</f>
        <v>0.42720000000000002</v>
      </c>
      <c r="J105" s="147">
        <f>($E105-SUM($F105:I105))*$E$102</f>
        <v>0.25631999999999994</v>
      </c>
      <c r="K105" s="147">
        <f>($E105-SUM($F105:J105))*$E$102</f>
        <v>0.15379199999999998</v>
      </c>
      <c r="L105" s="147">
        <f>($E105-SUM($F105:K105))*$E$102</f>
        <v>9.2275200000000002E-2</v>
      </c>
      <c r="M105" s="147">
        <f>($E105-SUM($F105:L105))*$E$102</f>
        <v>5.5365120000000004E-2</v>
      </c>
      <c r="N105" s="147">
        <f>($E105-SUM($F105:M105))*$E$102</f>
        <v>3.3219071999999981E-2</v>
      </c>
      <c r="O105" s="147">
        <f>($E105-SUM($F105:N105))*$E$102</f>
        <v>1.9931443199999954E-2</v>
      </c>
      <c r="P105" s="147">
        <f>($E105-SUM($F105:O105))*$E$70</f>
        <v>4.4845747199999892E-3</v>
      </c>
    </row>
    <row r="106" spans="1:16">
      <c r="A106" s="144"/>
      <c r="C106" s="147" t="s">
        <v>4</v>
      </c>
      <c r="E106" s="147">
        <v>5.87</v>
      </c>
      <c r="F106" s="147"/>
      <c r="G106" s="147"/>
      <c r="H106" s="147"/>
      <c r="I106" s="147">
        <f>($E106-SUM($F106:H106))*$E$102</f>
        <v>2.3480000000000003</v>
      </c>
      <c r="J106" s="147">
        <f>($E106-SUM($F106:I106))*$E$102</f>
        <v>1.4088000000000001</v>
      </c>
      <c r="K106" s="147">
        <f>($E106-SUM($F106:J106))*$E$102</f>
        <v>0.84528000000000003</v>
      </c>
      <c r="L106" s="147">
        <f>($E106-SUM($F106:K106))*$E$102</f>
        <v>0.50716800000000006</v>
      </c>
      <c r="M106" s="147">
        <f>($E106-SUM($F106:L106))*$E$102</f>
        <v>0.30430080000000004</v>
      </c>
      <c r="N106" s="147">
        <f>($E106-SUM($F106:M106))*$E$102</f>
        <v>0.18258048000000004</v>
      </c>
      <c r="O106" s="147">
        <f>($E106-SUM($F106:N106))*$E$102</f>
        <v>0.10954828799999988</v>
      </c>
      <c r="P106" s="147">
        <f>($E106-SUM($F106:O106))*$E$38</f>
        <v>1.6432243199999964E-2</v>
      </c>
    </row>
    <row r="107" spans="1:16">
      <c r="A107" s="144"/>
      <c r="C107" s="147" t="s">
        <v>5</v>
      </c>
      <c r="E107" s="147">
        <v>5.75</v>
      </c>
      <c r="F107" s="147"/>
      <c r="G107" s="147"/>
      <c r="H107" s="147"/>
      <c r="I107" s="147"/>
      <c r="J107" s="147">
        <f>($E107-SUM($F107:I107))*$E$102</f>
        <v>2.3000000000000003</v>
      </c>
      <c r="K107" s="147">
        <f>($E107-SUM($F107:J107))*$E$102</f>
        <v>1.38</v>
      </c>
      <c r="L107" s="147">
        <f>($E107-SUM($F107:K107))*$E$102</f>
        <v>0.82799999999999996</v>
      </c>
      <c r="M107" s="147">
        <f>($E107-SUM($F107:L107))*$E$102</f>
        <v>0.49680000000000002</v>
      </c>
      <c r="N107" s="147">
        <f>($E107-SUM($F107:M107))*$E$102</f>
        <v>0.29807999999999985</v>
      </c>
      <c r="O107" s="147">
        <f>($E107-SUM($F107:N107))*$E$102</f>
        <v>0.17884800000000001</v>
      </c>
      <c r="P107" s="147">
        <f>($E107-SUM($F107:O107))*$E$38</f>
        <v>2.6827199999999964E-2</v>
      </c>
    </row>
    <row r="108" spans="1:16">
      <c r="A108" s="144"/>
      <c r="C108" s="147" t="s">
        <v>6</v>
      </c>
      <c r="E108" s="147">
        <v>6.66</v>
      </c>
      <c r="F108" s="147"/>
      <c r="G108" s="147"/>
      <c r="H108" s="147"/>
      <c r="I108" s="147"/>
      <c r="J108" s="147"/>
      <c r="K108" s="147">
        <f>($E108-SUM($F108:J108))*$E$102</f>
        <v>2.6640000000000001</v>
      </c>
      <c r="L108" s="147">
        <f>($E108-SUM($F108:K108))*$E$102</f>
        <v>1.5984</v>
      </c>
      <c r="M108" s="147">
        <f>($E108-SUM($F108:L108))*$E$102</f>
        <v>0.95903999999999989</v>
      </c>
      <c r="N108" s="147">
        <f>($E108-SUM($F108:M108))*$E$102</f>
        <v>0.57542399999999994</v>
      </c>
      <c r="O108" s="147">
        <f>($E108-SUM($F108:N108))*$E$102</f>
        <v>0.34525439999999996</v>
      </c>
      <c r="P108" s="147">
        <f>($E108-SUM($F108:O108))*$E$38</f>
        <v>5.178816E-2</v>
      </c>
    </row>
    <row r="109" spans="1:16">
      <c r="A109" s="144"/>
      <c r="C109" s="147" t="s">
        <v>8</v>
      </c>
      <c r="E109" s="147">
        <v>5</v>
      </c>
      <c r="F109" s="147"/>
      <c r="G109" s="147"/>
      <c r="H109" s="147"/>
      <c r="I109" s="147"/>
      <c r="J109" s="147"/>
      <c r="K109" s="147"/>
      <c r="L109" s="147">
        <f>($E109-SUM($F109:K109))*$E$102</f>
        <v>2</v>
      </c>
      <c r="M109" s="147">
        <f>($E109-SUM($F109:L109))*$E$102</f>
        <v>1.2000000000000002</v>
      </c>
      <c r="N109" s="147">
        <f>($E109-SUM($F109:M109))*$E$102</f>
        <v>0.72</v>
      </c>
      <c r="O109" s="147">
        <f>($E109-SUM($F109:N109))*$E$102</f>
        <v>0.43200000000000005</v>
      </c>
      <c r="P109" s="147">
        <f>($E109-SUM($F109:O109))*$E$38</f>
        <v>6.4799999999999969E-2</v>
      </c>
    </row>
    <row r="110" spans="1:16">
      <c r="A110" s="144"/>
      <c r="C110" s="147" t="s">
        <v>9</v>
      </c>
      <c r="E110" s="147">
        <v>4</v>
      </c>
      <c r="F110" s="147"/>
      <c r="G110" s="147"/>
      <c r="H110" s="147"/>
      <c r="I110" s="147"/>
      <c r="J110" s="147"/>
      <c r="K110" s="147"/>
      <c r="L110" s="147"/>
      <c r="M110" s="147">
        <f>($E110-SUM($F110:L110))*$E$102</f>
        <v>1.6</v>
      </c>
      <c r="N110" s="147">
        <f>($E110-SUM($F110:M110))*$E$102</f>
        <v>0.96</v>
      </c>
      <c r="O110" s="147">
        <f>($E110-SUM($F110:N110))*$E$102</f>
        <v>0.57599999999999996</v>
      </c>
      <c r="P110" s="147">
        <f>($E110-SUM($F110:O110))*$E$38</f>
        <v>8.6399999999999991E-2</v>
      </c>
    </row>
    <row r="111" spans="1:16">
      <c r="A111" s="144"/>
      <c r="C111" s="147" t="s">
        <v>10</v>
      </c>
      <c r="E111" s="147">
        <v>3</v>
      </c>
      <c r="F111" s="147"/>
      <c r="G111" s="147"/>
      <c r="H111" s="147"/>
      <c r="I111" s="147"/>
      <c r="J111" s="147"/>
      <c r="K111" s="147"/>
      <c r="L111" s="147"/>
      <c r="M111" s="147"/>
      <c r="N111" s="147">
        <f>($E111-SUM($F111:M111))*$E$102</f>
        <v>1.2000000000000002</v>
      </c>
      <c r="O111" s="147">
        <f>($E111-SUM($F111:N111))*$E$102</f>
        <v>0.72</v>
      </c>
      <c r="P111" s="147">
        <f>($E111-SUM($F111:O111))*$E$38</f>
        <v>0.10799999999999998</v>
      </c>
    </row>
    <row r="112" spans="1:16">
      <c r="A112" s="144"/>
      <c r="C112" s="147" t="s">
        <v>11</v>
      </c>
      <c r="E112" s="147">
        <v>2</v>
      </c>
      <c r="F112" s="147"/>
      <c r="G112" s="147"/>
      <c r="H112" s="147"/>
      <c r="I112" s="147"/>
      <c r="J112" s="147"/>
      <c r="K112" s="147"/>
      <c r="L112" s="147"/>
      <c r="M112" s="147"/>
      <c r="N112" s="147"/>
      <c r="O112" s="147">
        <f>($E112-SUM($F112:N112))*$E$102</f>
        <v>0.8</v>
      </c>
      <c r="P112" s="147">
        <f>($E112-SUM($F112:O112))*$E$38</f>
        <v>0.12</v>
      </c>
    </row>
    <row r="113" spans="1:16">
      <c r="A113" s="144"/>
      <c r="C113" s="147" t="s">
        <v>12</v>
      </c>
      <c r="E113" s="147">
        <v>2</v>
      </c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>
        <f>($E113-SUM($F113:O113))*$E$38</f>
        <v>0.2</v>
      </c>
    </row>
    <row r="114" spans="1:16" s="141" customFormat="1">
      <c r="A114" s="157"/>
      <c r="C114" s="176" t="s">
        <v>68</v>
      </c>
      <c r="D114" s="167"/>
      <c r="E114" s="166"/>
      <c r="F114" s="166"/>
      <c r="G114" s="166">
        <f>SUM(G104:G113)</f>
        <v>10.596</v>
      </c>
      <c r="H114" s="166">
        <f t="shared" ref="H114:P114" si="28">SUM(H104:H113)</f>
        <v>7.0695999999999994</v>
      </c>
      <c r="I114" s="166">
        <f t="shared" si="28"/>
        <v>6.5897600000000001</v>
      </c>
      <c r="J114" s="166">
        <f t="shared" si="28"/>
        <v>6.253855999999999</v>
      </c>
      <c r="K114" s="166">
        <f t="shared" si="28"/>
        <v>6.4163135999999987</v>
      </c>
      <c r="L114" s="166">
        <f t="shared" si="28"/>
        <v>5.8497881599999983</v>
      </c>
      <c r="M114" s="166">
        <f t="shared" si="28"/>
        <v>5.1098728959999988</v>
      </c>
      <c r="N114" s="166">
        <f t="shared" si="28"/>
        <v>4.2659237375999997</v>
      </c>
      <c r="O114" s="166">
        <f t="shared" si="28"/>
        <v>3.3595542425599998</v>
      </c>
      <c r="P114" s="166">
        <f t="shared" si="28"/>
        <v>0.70542799462400008</v>
      </c>
    </row>
    <row r="115" spans="1:16">
      <c r="A115" s="144"/>
      <c r="B115" s="141" t="s">
        <v>232</v>
      </c>
      <c r="C115" s="142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</row>
    <row r="116" spans="1:16">
      <c r="A116" s="144"/>
      <c r="C116" s="142" t="s">
        <v>62</v>
      </c>
      <c r="G116" s="146"/>
      <c r="H116" s="147">
        <f>G119</f>
        <v>729.77</v>
      </c>
      <c r="I116" s="147">
        <f t="shared" ref="I116" si="29">H119</f>
        <v>807.26</v>
      </c>
      <c r="J116" s="147">
        <f t="shared" ref="J116" si="30">I119</f>
        <v>915.05</v>
      </c>
      <c r="K116" s="147">
        <f t="shared" ref="K116" si="31">J119</f>
        <v>986.27</v>
      </c>
      <c r="L116" s="147">
        <f t="shared" ref="L116" si="32">K119</f>
        <v>1083.4000000000001</v>
      </c>
      <c r="M116" s="147">
        <f t="shared" ref="M116" si="33">L119</f>
        <v>1133.4000000000001</v>
      </c>
      <c r="N116" s="147">
        <f t="shared" ref="N116" si="34">M119</f>
        <v>1173.4000000000001</v>
      </c>
      <c r="O116" s="147">
        <f t="shared" ref="O116" si="35">N119</f>
        <v>1203.4000000000001</v>
      </c>
      <c r="P116" s="147">
        <f t="shared" ref="P116" si="36">O119</f>
        <v>1208.4000000000001</v>
      </c>
    </row>
    <row r="117" spans="1:16">
      <c r="A117" s="144"/>
      <c r="C117" s="142" t="s">
        <v>63</v>
      </c>
      <c r="G117" s="147">
        <f t="shared" ref="G117:P117" si="37">G9</f>
        <v>729.77</v>
      </c>
      <c r="H117" s="147">
        <f t="shared" si="37"/>
        <v>77.489999999999995</v>
      </c>
      <c r="I117" s="147">
        <f t="shared" si="37"/>
        <v>107.79</v>
      </c>
      <c r="J117" s="147">
        <f t="shared" si="37"/>
        <v>71.22</v>
      </c>
      <c r="K117" s="147">
        <f t="shared" si="37"/>
        <v>97.13</v>
      </c>
      <c r="L117" s="147">
        <f t="shared" si="37"/>
        <v>50</v>
      </c>
      <c r="M117" s="147">
        <f t="shared" si="37"/>
        <v>40</v>
      </c>
      <c r="N117" s="147">
        <f t="shared" si="37"/>
        <v>30</v>
      </c>
      <c r="O117" s="147">
        <f t="shared" si="37"/>
        <v>5</v>
      </c>
      <c r="P117" s="147">
        <f t="shared" si="37"/>
        <v>20</v>
      </c>
    </row>
    <row r="118" spans="1:16">
      <c r="A118" s="144"/>
      <c r="C118" s="142" t="s">
        <v>64</v>
      </c>
      <c r="G118" s="147">
        <v>0</v>
      </c>
      <c r="H118" s="147">
        <v>0</v>
      </c>
      <c r="I118" s="147">
        <v>0</v>
      </c>
      <c r="J118" s="147">
        <v>0</v>
      </c>
      <c r="K118" s="147">
        <v>0</v>
      </c>
      <c r="L118" s="147">
        <v>0</v>
      </c>
      <c r="M118" s="147">
        <v>0</v>
      </c>
      <c r="N118" s="147">
        <v>0</v>
      </c>
      <c r="O118" s="147">
        <v>0</v>
      </c>
      <c r="P118" s="147">
        <v>0</v>
      </c>
    </row>
    <row r="119" spans="1:16" s="141" customFormat="1">
      <c r="A119" s="157"/>
      <c r="C119" s="166" t="s">
        <v>65</v>
      </c>
      <c r="D119" s="167"/>
      <c r="E119" s="166"/>
      <c r="F119" s="166"/>
      <c r="G119" s="176">
        <f>G116+G117-G118</f>
        <v>729.77</v>
      </c>
      <c r="H119" s="176">
        <f>H116+H117-H118</f>
        <v>807.26</v>
      </c>
      <c r="I119" s="176">
        <f t="shared" ref="I119:P119" si="38">I116+I117-I118</f>
        <v>915.05</v>
      </c>
      <c r="J119" s="176">
        <f t="shared" si="38"/>
        <v>986.27</v>
      </c>
      <c r="K119" s="176">
        <f t="shared" si="38"/>
        <v>1083.4000000000001</v>
      </c>
      <c r="L119" s="176">
        <f t="shared" si="38"/>
        <v>1133.4000000000001</v>
      </c>
      <c r="M119" s="176">
        <f t="shared" si="38"/>
        <v>1173.4000000000001</v>
      </c>
      <c r="N119" s="176">
        <f t="shared" si="38"/>
        <v>1203.4000000000001</v>
      </c>
      <c r="O119" s="176">
        <f t="shared" si="38"/>
        <v>1208.4000000000001</v>
      </c>
      <c r="P119" s="176">
        <f t="shared" si="38"/>
        <v>1228.4000000000001</v>
      </c>
    </row>
    <row r="120" spans="1:16" s="141" customFormat="1">
      <c r="A120" s="141" t="s">
        <v>66</v>
      </c>
      <c r="D120" s="143"/>
      <c r="E120" s="292">
        <v>9.5000000000000001E-2</v>
      </c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</row>
    <row r="121" spans="1:16" s="141" customFormat="1">
      <c r="A121" s="157"/>
      <c r="B121" s="141" t="s">
        <v>67</v>
      </c>
      <c r="D121" s="143"/>
      <c r="E121" s="292"/>
    </row>
    <row r="122" spans="1:16">
      <c r="A122" s="144"/>
      <c r="C122" s="147" t="s">
        <v>2</v>
      </c>
      <c r="E122" s="147">
        <v>729.77</v>
      </c>
      <c r="F122" s="147"/>
      <c r="G122" s="147">
        <f>($E122-SUM($F122:F122))*$E$120</f>
        <v>69.328149999999994</v>
      </c>
      <c r="H122" s="147">
        <f>($E122-SUM($F122:G122))*$E$120</f>
        <v>62.741975749999995</v>
      </c>
      <c r="I122" s="147">
        <f>($E122-SUM($F122:H122))*$E$120</f>
        <v>56.781488053750003</v>
      </c>
      <c r="J122" s="147">
        <f>($E122-SUM($F122:I122))*$E$120</f>
        <v>51.387246688643756</v>
      </c>
      <c r="K122" s="147">
        <f>($E122-SUM($F122:J122))*$E$120</f>
        <v>46.505458253222592</v>
      </c>
      <c r="L122" s="147">
        <f>($E122-SUM($F122:K122))*$E$120</f>
        <v>42.087439719166447</v>
      </c>
      <c r="M122" s="147">
        <f>($E122-SUM($F122:L122))*$E$120</f>
        <v>38.089132945845634</v>
      </c>
      <c r="N122" s="147">
        <f>($E122-SUM($F122:M122))*$E$120</f>
        <v>34.470665315990296</v>
      </c>
      <c r="O122" s="147">
        <f>($E122-SUM($F122:N122))*$E$120</f>
        <v>31.19595211097122</v>
      </c>
      <c r="P122" s="147">
        <f>($E122-SUM($F122:O122))*$E$120</f>
        <v>28.232336660428953</v>
      </c>
    </row>
    <row r="123" spans="1:16">
      <c r="A123" s="144"/>
      <c r="C123" s="147" t="s">
        <v>3</v>
      </c>
      <c r="E123" s="147">
        <v>77.489999999999995</v>
      </c>
      <c r="F123" s="147"/>
      <c r="G123" s="147"/>
      <c r="H123" s="147">
        <f>($E123-SUM($F123:G123))*$E$120</f>
        <v>7.3615499999999994</v>
      </c>
      <c r="I123" s="147">
        <f>($E123-SUM($F123:H123))*$E$120</f>
        <v>6.6622027500000005</v>
      </c>
      <c r="J123" s="147">
        <f>($E123-SUM($F123:I123))*$E$120</f>
        <v>6.0292934887499996</v>
      </c>
      <c r="K123" s="147">
        <f>($E123-SUM($F123:J123))*$E$120</f>
        <v>5.4565106073187497</v>
      </c>
      <c r="L123" s="147">
        <f>($E123-SUM($F123:K123))*$E$120</f>
        <v>4.9381420996234686</v>
      </c>
      <c r="M123" s="147">
        <f>($E123-SUM($F123:L123))*$E$120</f>
        <v>4.4690186001592389</v>
      </c>
      <c r="N123" s="147">
        <f>($E123-SUM($F123:M123))*$E$120</f>
        <v>4.0444618331441111</v>
      </c>
      <c r="O123" s="147">
        <f>($E123-SUM($F123:N123))*$E$120</f>
        <v>3.6602379589954208</v>
      </c>
      <c r="P123" s="147">
        <f>($E123-SUM($F123:O123))*$E$120</f>
        <v>3.3125153528908555</v>
      </c>
    </row>
    <row r="124" spans="1:16">
      <c r="A124" s="144"/>
      <c r="C124" s="147" t="s">
        <v>4</v>
      </c>
      <c r="E124" s="147">
        <v>107.79</v>
      </c>
      <c r="F124" s="147"/>
      <c r="G124" s="147"/>
      <c r="H124" s="147"/>
      <c r="I124" s="147">
        <f>($E124-SUM($F124:H124))*$E$120</f>
        <v>10.24005</v>
      </c>
      <c r="J124" s="147">
        <f>($E124-SUM($F124:I124))*$E$120</f>
        <v>9.2672452500000002</v>
      </c>
      <c r="K124" s="147">
        <f>($E124-SUM($F124:J124))*$E$120</f>
        <v>8.3868569512500013</v>
      </c>
      <c r="L124" s="147">
        <f>($E124-SUM($F124:K124))*$E$120</f>
        <v>7.5901055408812494</v>
      </c>
      <c r="M124" s="147">
        <f>($E124-SUM($F124:L124))*$E$120</f>
        <v>6.8690455144975324</v>
      </c>
      <c r="N124" s="147">
        <f>($E124-SUM($F124:M124))*$E$120</f>
        <v>6.2164861906202669</v>
      </c>
      <c r="O124" s="147">
        <f>($E124-SUM($F124:N124))*$E$120</f>
        <v>5.6259200025113412</v>
      </c>
      <c r="P124" s="147">
        <f>($E124-SUM($F124:O124))*$E$120</f>
        <v>5.0914576022727642</v>
      </c>
    </row>
    <row r="125" spans="1:16">
      <c r="A125" s="144"/>
      <c r="C125" s="147" t="s">
        <v>5</v>
      </c>
      <c r="E125" s="147">
        <v>71.22</v>
      </c>
      <c r="F125" s="147"/>
      <c r="G125" s="147"/>
      <c r="H125" s="147"/>
      <c r="I125" s="147"/>
      <c r="J125" s="147">
        <f>($E125-SUM($F125:I125))*$E$120</f>
        <v>6.7659000000000002</v>
      </c>
      <c r="K125" s="147">
        <f>($E125-SUM($F125:J125))*$E$120</f>
        <v>6.1231394999999997</v>
      </c>
      <c r="L125" s="147">
        <f>($E125-SUM($F125:K125))*$E$120</f>
        <v>5.5414412475000008</v>
      </c>
      <c r="M125" s="147">
        <f>($E125-SUM($F125:L125))*$E$120</f>
        <v>5.0150043289874997</v>
      </c>
      <c r="N125" s="147">
        <f>($E125-SUM($F125:M125))*$E$120</f>
        <v>4.5385789177336875</v>
      </c>
      <c r="O125" s="147">
        <f>($E125-SUM($F125:N125))*$E$120</f>
        <v>4.1074139205489875</v>
      </c>
      <c r="P125" s="147">
        <f>($E125-SUM($F125:O125))*$E$120</f>
        <v>3.7172095980968334</v>
      </c>
    </row>
    <row r="126" spans="1:16">
      <c r="A126" s="144"/>
      <c r="C126" s="147" t="s">
        <v>6</v>
      </c>
      <c r="E126" s="147">
        <v>97.13</v>
      </c>
      <c r="F126" s="147"/>
      <c r="G126" s="147"/>
      <c r="H126" s="147"/>
      <c r="I126" s="147"/>
      <c r="J126" s="147"/>
      <c r="K126" s="147">
        <f>($E126-SUM($F126:J126))*$E$120</f>
        <v>9.2273499999999995</v>
      </c>
      <c r="L126" s="147">
        <f>($E126-SUM($F126:K126))*$E$120</f>
        <v>8.3507517499999988</v>
      </c>
      <c r="M126" s="147">
        <f>($E126-SUM($F126:L126))*$E$120</f>
        <v>7.5574303337499993</v>
      </c>
      <c r="N126" s="147">
        <f>($E126-SUM($F126:M126))*$E$120</f>
        <v>6.83947445204375</v>
      </c>
      <c r="O126" s="147">
        <f>($E126-SUM($F126:N126))*$E$120</f>
        <v>6.1897243790995944</v>
      </c>
      <c r="P126" s="147">
        <f>($E126-SUM($F126:O126))*$E$120</f>
        <v>5.6017005630851324</v>
      </c>
    </row>
    <row r="127" spans="1:16">
      <c r="A127" s="144"/>
      <c r="C127" s="147" t="s">
        <v>8</v>
      </c>
      <c r="E127" s="147">
        <v>50</v>
      </c>
      <c r="F127" s="147"/>
      <c r="G127" s="147"/>
      <c r="H127" s="147"/>
      <c r="I127" s="147"/>
      <c r="J127" s="147"/>
      <c r="K127" s="147"/>
      <c r="L127" s="147">
        <f>($E127-SUM($F127:K127))*$E$120</f>
        <v>4.75</v>
      </c>
      <c r="M127" s="147">
        <f>($E127-SUM($F127:L127))*$E$120</f>
        <v>4.2987500000000001</v>
      </c>
      <c r="N127" s="147">
        <f>($E127-SUM($F127:M127))*$E$120</f>
        <v>3.8903687500000004</v>
      </c>
      <c r="O127" s="147">
        <f>($E127-SUM($F127:N127))*$E$120</f>
        <v>3.5207837187500002</v>
      </c>
      <c r="P127" s="147">
        <f>($E127-SUM($F127:O127))*$E$120</f>
        <v>3.1863092654687497</v>
      </c>
    </row>
    <row r="128" spans="1:16">
      <c r="A128" s="144"/>
      <c r="C128" s="147" t="s">
        <v>9</v>
      </c>
      <c r="E128" s="147">
        <v>40</v>
      </c>
      <c r="F128" s="147"/>
      <c r="G128" s="147"/>
      <c r="H128" s="147"/>
      <c r="I128" s="147"/>
      <c r="J128" s="147"/>
      <c r="K128" s="147"/>
      <c r="L128" s="147"/>
      <c r="M128" s="147">
        <f>($E128-SUM($F128:L128))*$E$120</f>
        <v>3.8</v>
      </c>
      <c r="N128" s="147">
        <f>($E128-SUM($F128:M128))*$E$120</f>
        <v>3.4390000000000005</v>
      </c>
      <c r="O128" s="147">
        <f>($E128-SUM($F128:N128))*$E$120</f>
        <v>3.1122949999999996</v>
      </c>
      <c r="P128" s="147">
        <f>($E128-SUM($F128:O128))*$E$120</f>
        <v>2.8166269750000001</v>
      </c>
    </row>
    <row r="129" spans="1:16">
      <c r="A129" s="144"/>
      <c r="C129" s="147" t="s">
        <v>10</v>
      </c>
      <c r="E129" s="147">
        <v>30</v>
      </c>
      <c r="F129" s="147"/>
      <c r="G129" s="147"/>
      <c r="H129" s="147"/>
      <c r="I129" s="147"/>
      <c r="J129" s="147"/>
      <c r="K129" s="147"/>
      <c r="L129" s="147"/>
      <c r="M129" s="147"/>
      <c r="N129" s="147">
        <f>($E129-SUM($F129:M129))*$E$120</f>
        <v>2.85</v>
      </c>
      <c r="O129" s="147">
        <f>($E129-SUM($F129:N129))*$E$120</f>
        <v>2.57925</v>
      </c>
      <c r="P129" s="147">
        <f>($E129-SUM($F129:O129))*$E$120</f>
        <v>2.3342212500000001</v>
      </c>
    </row>
    <row r="130" spans="1:16">
      <c r="A130" s="144"/>
      <c r="C130" s="147" t="s">
        <v>11</v>
      </c>
      <c r="E130" s="147">
        <v>5</v>
      </c>
      <c r="F130" s="147"/>
      <c r="G130" s="147"/>
      <c r="H130" s="147"/>
      <c r="I130" s="147"/>
      <c r="J130" s="147"/>
      <c r="K130" s="147"/>
      <c r="L130" s="147"/>
      <c r="M130" s="147"/>
      <c r="N130" s="147"/>
      <c r="O130" s="147">
        <f>($E130-SUM($F130:N130))*$E$120</f>
        <v>0.47499999999999998</v>
      </c>
      <c r="P130" s="147">
        <f>($E130-SUM($F130:O130))*$E$120</f>
        <v>0.42987500000000006</v>
      </c>
    </row>
    <row r="131" spans="1:16">
      <c r="A131" s="144"/>
      <c r="C131" s="147" t="s">
        <v>12</v>
      </c>
      <c r="E131" s="147">
        <v>20</v>
      </c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>
        <f>($E131-SUM($F131:O131))*$E$120</f>
        <v>1.9</v>
      </c>
    </row>
    <row r="132" spans="1:16" s="141" customFormat="1">
      <c r="A132" s="157"/>
      <c r="C132" s="176" t="s">
        <v>68</v>
      </c>
      <c r="D132" s="167"/>
      <c r="E132" s="166"/>
      <c r="F132" s="166"/>
      <c r="G132" s="166">
        <f>SUM(G122:G131)</f>
        <v>69.328149999999994</v>
      </c>
      <c r="H132" s="166">
        <f t="shared" ref="H132:P132" si="39">SUM(H122:H131)</f>
        <v>70.103525749999989</v>
      </c>
      <c r="I132" s="166">
        <f t="shared" si="39"/>
        <v>73.683740803749998</v>
      </c>
      <c r="J132" s="166">
        <f t="shared" si="39"/>
        <v>73.44968542739376</v>
      </c>
      <c r="K132" s="166">
        <f t="shared" si="39"/>
        <v>75.699315311791338</v>
      </c>
      <c r="L132" s="166">
        <f t="shared" si="39"/>
        <v>73.25788035717116</v>
      </c>
      <c r="M132" s="166">
        <f t="shared" si="39"/>
        <v>70.09838172323991</v>
      </c>
      <c r="N132" s="166">
        <f t="shared" si="39"/>
        <v>66.289035459532116</v>
      </c>
      <c r="O132" s="166">
        <f t="shared" si="39"/>
        <v>60.466577090876577</v>
      </c>
      <c r="P132" s="166">
        <f t="shared" si="39"/>
        <v>56.62225226724329</v>
      </c>
    </row>
    <row r="133" spans="1:16" s="141" customFormat="1">
      <c r="B133" s="141" t="s">
        <v>231</v>
      </c>
      <c r="D133" s="143"/>
      <c r="E133" s="294">
        <v>0.1</v>
      </c>
      <c r="F133" s="293"/>
    </row>
    <row r="134" spans="1:16" s="141" customFormat="1">
      <c r="A134" s="157"/>
      <c r="B134" s="141" t="s">
        <v>67</v>
      </c>
      <c r="D134" s="143"/>
    </row>
    <row r="135" spans="1:16">
      <c r="A135" s="144"/>
      <c r="C135" s="147" t="s">
        <v>2</v>
      </c>
      <c r="E135" s="147">
        <v>729.77</v>
      </c>
      <c r="F135" s="147"/>
      <c r="G135" s="147">
        <f>($E135-SUM($F135:F135))*$E$133</f>
        <v>72.977000000000004</v>
      </c>
      <c r="H135" s="147">
        <f>($E135-SUM($F135:G135))*$E$133</f>
        <v>65.679299999999998</v>
      </c>
      <c r="I135" s="147">
        <f>($E135-SUM($F135:H135))*$E$133</f>
        <v>59.111370000000001</v>
      </c>
      <c r="J135" s="147">
        <f>($E135-SUM($F135:I135))*$E$133</f>
        <v>53.200233000000004</v>
      </c>
      <c r="K135" s="147">
        <f>($E135-SUM($F135:J135))*$E$133</f>
        <v>47.880209700000002</v>
      </c>
      <c r="L135" s="147">
        <f>($E135-SUM($F135:K135))*$E$133</f>
        <v>43.092188730000004</v>
      </c>
      <c r="M135" s="147">
        <f>($E135-SUM($F135:L135))*$E$133</f>
        <v>38.782969857000005</v>
      </c>
      <c r="N135" s="147">
        <f>($E135-SUM($F135:M135))*$E$133</f>
        <v>34.904672871300001</v>
      </c>
      <c r="O135" s="147">
        <f>($E135-SUM($F135:N135))*$E$133</f>
        <v>31.414205584169999</v>
      </c>
      <c r="P135" s="147">
        <f>($E135-SUM($F135:O135))*$E$133</f>
        <v>28.272785025752995</v>
      </c>
    </row>
    <row r="136" spans="1:16">
      <c r="A136" s="144"/>
      <c r="C136" s="147" t="s">
        <v>3</v>
      </c>
      <c r="E136" s="147">
        <v>77.489999999999995</v>
      </c>
      <c r="F136" s="147"/>
      <c r="G136" s="147"/>
      <c r="H136" s="147">
        <f>($E136-SUM($F136:G136))*$E$133</f>
        <v>7.7489999999999997</v>
      </c>
      <c r="I136" s="147">
        <f>($E136-SUM($F136:H136))*$E$133</f>
        <v>6.9741</v>
      </c>
      <c r="J136" s="147">
        <f>($E136-SUM($F136:I136))*$E$133</f>
        <v>6.2766899999999994</v>
      </c>
      <c r="K136" s="147">
        <f>($E136-SUM($F136:J136))*$E$133</f>
        <v>5.6490210000000003</v>
      </c>
      <c r="L136" s="147">
        <f>($E136-SUM($F136:K136))*$E$133</f>
        <v>5.0841189</v>
      </c>
      <c r="M136" s="147">
        <f>($E136-SUM($F136:L136))*$E$133</f>
        <v>4.5757070099999995</v>
      </c>
      <c r="N136" s="147">
        <f>($E136-SUM($F136:M136))*$E$133</f>
        <v>4.1181363089999996</v>
      </c>
      <c r="O136" s="147">
        <f>($E136-SUM($F136:N136))*$E$133</f>
        <v>3.7063226780999998</v>
      </c>
      <c r="P136" s="147">
        <f>($E136-SUM($F136:O136))*$E$133</f>
        <v>3.3356904102899998</v>
      </c>
    </row>
    <row r="137" spans="1:16">
      <c r="A137" s="144"/>
      <c r="C137" s="147" t="s">
        <v>4</v>
      </c>
      <c r="E137" s="147">
        <v>107.79</v>
      </c>
      <c r="F137" s="147"/>
      <c r="G137" s="147"/>
      <c r="H137" s="147"/>
      <c r="I137" s="147">
        <f>($E137-SUM($F137:H137))*$E$133</f>
        <v>10.779000000000002</v>
      </c>
      <c r="J137" s="147">
        <f>($E137-SUM($F137:I137))*$E$133</f>
        <v>9.7011000000000021</v>
      </c>
      <c r="K137" s="147">
        <f>($E137-SUM($F137:J137))*$E$133</f>
        <v>8.7309900000000003</v>
      </c>
      <c r="L137" s="147">
        <f>($E137-SUM($F137:K137))*$E$133</f>
        <v>7.8578910000000013</v>
      </c>
      <c r="M137" s="147">
        <f>($E137-SUM($F137:L137))*$E$133</f>
        <v>7.0721018999999998</v>
      </c>
      <c r="N137" s="147">
        <f>($E137-SUM($F137:M137))*$E$133</f>
        <v>6.3648917100000002</v>
      </c>
      <c r="O137" s="147">
        <f>($E137-SUM($F137:N137))*$E$133</f>
        <v>5.7284025390000002</v>
      </c>
      <c r="P137" s="147">
        <f>($E137-SUM($F137:O137))*$E$133</f>
        <v>5.1555622851000003</v>
      </c>
    </row>
    <row r="138" spans="1:16">
      <c r="A138" s="144"/>
      <c r="C138" s="147" t="s">
        <v>5</v>
      </c>
      <c r="E138" s="147">
        <v>71.22</v>
      </c>
      <c r="F138" s="147"/>
      <c r="G138" s="147"/>
      <c r="H138" s="147"/>
      <c r="I138" s="147"/>
      <c r="J138" s="147">
        <f>($E138-SUM($F138:I138))*$E$133</f>
        <v>7.1219999999999999</v>
      </c>
      <c r="K138" s="147">
        <f>($E138-SUM($F138:J138))*$E$133</f>
        <v>6.4098000000000006</v>
      </c>
      <c r="L138" s="147">
        <f>($E138-SUM($F138:K138))*$E$133</f>
        <v>5.7688199999999998</v>
      </c>
      <c r="M138" s="147">
        <f>($E138-SUM($F138:L138))*$E$133</f>
        <v>5.1919380000000004</v>
      </c>
      <c r="N138" s="147">
        <f>($E138-SUM($F138:M138))*$E$133</f>
        <v>4.6727441999999995</v>
      </c>
      <c r="O138" s="147">
        <f>($E138-SUM($F138:N138))*$E$133</f>
        <v>4.2054697800000005</v>
      </c>
      <c r="P138" s="147">
        <f>($E138-SUM($F138:O138))*$E$133</f>
        <v>3.7849228020000001</v>
      </c>
    </row>
    <row r="139" spans="1:16">
      <c r="A139" s="144"/>
      <c r="C139" s="147" t="s">
        <v>6</v>
      </c>
      <c r="E139" s="147">
        <v>97.13</v>
      </c>
      <c r="F139" s="147"/>
      <c r="G139" s="147"/>
      <c r="H139" s="147"/>
      <c r="I139" s="147"/>
      <c r="J139" s="147"/>
      <c r="K139" s="147">
        <f>($E139-SUM($F139:J139))*$E$133</f>
        <v>9.713000000000001</v>
      </c>
      <c r="L139" s="147">
        <f>($E139-SUM($F139:K139))*$E$133</f>
        <v>8.7416999999999998</v>
      </c>
      <c r="M139" s="147">
        <f>($E139-SUM($F139:L139))*$E$133</f>
        <v>7.8675299999999995</v>
      </c>
      <c r="N139" s="147">
        <f>($E139-SUM($F139:M139))*$E$133</f>
        <v>7.0807769999999994</v>
      </c>
      <c r="O139" s="147">
        <f>($E139-SUM($F139:N139))*$E$133</f>
        <v>6.3726992999999998</v>
      </c>
      <c r="P139" s="147">
        <f>($E139-SUM($F139:O139))*$E$133</f>
        <v>5.7354293699999994</v>
      </c>
    </row>
    <row r="140" spans="1:16">
      <c r="A140" s="144"/>
      <c r="C140" s="147" t="s">
        <v>8</v>
      </c>
      <c r="E140" s="147">
        <v>50</v>
      </c>
      <c r="F140" s="147"/>
      <c r="G140" s="147"/>
      <c r="H140" s="147"/>
      <c r="I140" s="147"/>
      <c r="J140" s="147"/>
      <c r="K140" s="147"/>
      <c r="L140" s="147">
        <f>($E140-SUM($F140:K140))*$E$133</f>
        <v>5</v>
      </c>
      <c r="M140" s="147">
        <f>($E140-SUM($F140:L140))*$E$133</f>
        <v>4.5</v>
      </c>
      <c r="N140" s="147">
        <f>($E140-SUM($F140:M140))*$E$133</f>
        <v>4.05</v>
      </c>
      <c r="O140" s="147">
        <f>($E140-SUM($F140:N140))*$E$133</f>
        <v>3.6450000000000005</v>
      </c>
      <c r="P140" s="147">
        <f>($E140-SUM($F140:O140))*$E$133</f>
        <v>3.2805</v>
      </c>
    </row>
    <row r="141" spans="1:16">
      <c r="A141" s="144"/>
      <c r="C141" s="147" t="s">
        <v>9</v>
      </c>
      <c r="E141" s="147">
        <v>40</v>
      </c>
      <c r="F141" s="147"/>
      <c r="G141" s="147"/>
      <c r="H141" s="147"/>
      <c r="I141" s="147"/>
      <c r="J141" s="147"/>
      <c r="K141" s="147"/>
      <c r="L141" s="147"/>
      <c r="M141" s="147">
        <f>($E141-SUM($F141:L141))*$E$133</f>
        <v>4</v>
      </c>
      <c r="N141" s="147">
        <f>($E141-SUM($F141:M141))*$E$133</f>
        <v>3.6</v>
      </c>
      <c r="O141" s="147">
        <f>($E141-SUM($F141:N141))*$E$133</f>
        <v>3.24</v>
      </c>
      <c r="P141" s="147">
        <f>($E141-SUM($F141:O141))*$E$133</f>
        <v>2.9160000000000004</v>
      </c>
    </row>
    <row r="142" spans="1:16">
      <c r="A142" s="144"/>
      <c r="C142" s="147" t="s">
        <v>10</v>
      </c>
      <c r="E142" s="147">
        <v>30</v>
      </c>
      <c r="F142" s="147"/>
      <c r="G142" s="147"/>
      <c r="H142" s="147"/>
      <c r="I142" s="147"/>
      <c r="J142" s="147"/>
      <c r="K142" s="147"/>
      <c r="L142" s="147"/>
      <c r="M142" s="147"/>
      <c r="N142" s="147">
        <f>($E142-SUM($F142:M142))*$E$133</f>
        <v>3</v>
      </c>
      <c r="O142" s="147">
        <f>($E142-SUM($F142:N142))*$E$133</f>
        <v>2.7</v>
      </c>
      <c r="P142" s="147">
        <f>($E142-SUM($F142:O142))*$E$133</f>
        <v>2.4300000000000002</v>
      </c>
    </row>
    <row r="143" spans="1:16">
      <c r="A143" s="144"/>
      <c r="C143" s="147" t="s">
        <v>11</v>
      </c>
      <c r="E143" s="147">
        <v>5</v>
      </c>
      <c r="F143" s="147"/>
      <c r="G143" s="147"/>
      <c r="H143" s="147"/>
      <c r="I143" s="147"/>
      <c r="J143" s="147"/>
      <c r="K143" s="147"/>
      <c r="L143" s="147"/>
      <c r="M143" s="147"/>
      <c r="N143" s="147"/>
      <c r="O143" s="147">
        <f>($E143-SUM($F143:N143))*$E$133</f>
        <v>0.5</v>
      </c>
      <c r="P143" s="147">
        <f>($E143-SUM($F143:O143))*$E$133</f>
        <v>0.45</v>
      </c>
    </row>
    <row r="144" spans="1:16">
      <c r="A144" s="144"/>
      <c r="C144" s="147" t="s">
        <v>12</v>
      </c>
      <c r="E144" s="147">
        <v>20</v>
      </c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>
        <f>($E144-SUM($F144:O144))*$E$133</f>
        <v>2</v>
      </c>
    </row>
    <row r="145" spans="1:16" s="141" customFormat="1">
      <c r="A145" s="157"/>
      <c r="C145" s="176"/>
      <c r="D145" s="167"/>
      <c r="E145" s="166"/>
      <c r="F145" s="166"/>
      <c r="G145" s="166">
        <f>SUM(G135:G144)</f>
        <v>72.977000000000004</v>
      </c>
      <c r="H145" s="166">
        <f t="shared" ref="H145:P145" si="40">SUM(H135:H144)</f>
        <v>73.428299999999993</v>
      </c>
      <c r="I145" s="166">
        <f t="shared" si="40"/>
        <v>76.864469999999997</v>
      </c>
      <c r="J145" s="166">
        <f t="shared" si="40"/>
        <v>76.30002300000001</v>
      </c>
      <c r="K145" s="166">
        <f t="shared" si="40"/>
        <v>78.383020700000003</v>
      </c>
      <c r="L145" s="166">
        <f t="shared" si="40"/>
        <v>75.544718630000006</v>
      </c>
      <c r="M145" s="166">
        <f t="shared" si="40"/>
        <v>71.990246767000002</v>
      </c>
      <c r="N145" s="166">
        <f t="shared" si="40"/>
        <v>67.791222090299996</v>
      </c>
      <c r="O145" s="166">
        <f t="shared" si="40"/>
        <v>61.512099881270011</v>
      </c>
      <c r="P145" s="166">
        <f t="shared" si="40"/>
        <v>57.360889893142989</v>
      </c>
    </row>
    <row r="146" spans="1:16">
      <c r="A146" s="144"/>
      <c r="B146" s="141" t="s">
        <v>233</v>
      </c>
      <c r="C146" s="142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</row>
    <row r="147" spans="1:16">
      <c r="A147" s="144"/>
      <c r="C147" s="142" t="s">
        <v>62</v>
      </c>
      <c r="G147" s="146"/>
      <c r="H147" s="147">
        <f>G150</f>
        <v>97.13</v>
      </c>
      <c r="I147" s="147">
        <f t="shared" ref="I147" si="41">H150</f>
        <v>98.11999999999999</v>
      </c>
      <c r="J147" s="147">
        <f t="shared" ref="J147" si="42">I150</f>
        <v>99.089999999999989</v>
      </c>
      <c r="K147" s="147">
        <f t="shared" ref="K147" si="43">J150</f>
        <v>100.08999999999999</v>
      </c>
      <c r="L147" s="147">
        <f t="shared" ref="L147" si="44">K150</f>
        <v>101.08999999999999</v>
      </c>
      <c r="M147" s="147">
        <f t="shared" ref="M147" si="45">L150</f>
        <v>102.08999999999999</v>
      </c>
      <c r="N147" s="147">
        <f t="shared" ref="N147" si="46">M150</f>
        <v>103.08999999999999</v>
      </c>
      <c r="O147" s="147">
        <f t="shared" ref="O147" si="47">N150</f>
        <v>104.08999999999999</v>
      </c>
      <c r="P147" s="147">
        <f t="shared" ref="P147" si="48">O150</f>
        <v>105.08999999999999</v>
      </c>
    </row>
    <row r="148" spans="1:16">
      <c r="A148" s="144"/>
      <c r="C148" s="142" t="s">
        <v>63</v>
      </c>
      <c r="G148" s="147">
        <f>G10</f>
        <v>97.13</v>
      </c>
      <c r="H148" s="147">
        <f>H10</f>
        <v>0.99</v>
      </c>
      <c r="I148" s="147">
        <f>I10</f>
        <v>0.97</v>
      </c>
      <c r="J148" s="147">
        <v>1</v>
      </c>
      <c r="K148" s="147">
        <v>1</v>
      </c>
      <c r="L148" s="147">
        <v>1</v>
      </c>
      <c r="M148" s="147">
        <v>1</v>
      </c>
      <c r="N148" s="147">
        <v>1</v>
      </c>
      <c r="O148" s="147">
        <v>1</v>
      </c>
      <c r="P148" s="147">
        <v>1</v>
      </c>
    </row>
    <row r="149" spans="1:16">
      <c r="A149" s="144"/>
      <c r="C149" s="142" t="s">
        <v>64</v>
      </c>
      <c r="G149" s="147">
        <v>0</v>
      </c>
      <c r="H149" s="147">
        <v>0</v>
      </c>
      <c r="I149" s="147">
        <v>0</v>
      </c>
      <c r="J149" s="147">
        <v>0</v>
      </c>
      <c r="K149" s="147">
        <v>0</v>
      </c>
      <c r="L149" s="147">
        <v>0</v>
      </c>
      <c r="M149" s="147">
        <v>0</v>
      </c>
      <c r="N149" s="147">
        <v>0</v>
      </c>
      <c r="O149" s="147">
        <v>0</v>
      </c>
      <c r="P149" s="147">
        <v>0</v>
      </c>
    </row>
    <row r="150" spans="1:16" s="141" customFormat="1">
      <c r="A150" s="157"/>
      <c r="C150" s="166" t="s">
        <v>65</v>
      </c>
      <c r="D150" s="167"/>
      <c r="E150" s="166"/>
      <c r="F150" s="166"/>
      <c r="G150" s="176">
        <f>G147+G148-G149</f>
        <v>97.13</v>
      </c>
      <c r="H150" s="176">
        <f>H147+H148-H149</f>
        <v>98.11999999999999</v>
      </c>
      <c r="I150" s="176">
        <f t="shared" ref="I150:P150" si="49">I147+I148-I149</f>
        <v>99.089999999999989</v>
      </c>
      <c r="J150" s="176">
        <f t="shared" si="49"/>
        <v>100.08999999999999</v>
      </c>
      <c r="K150" s="176">
        <f t="shared" si="49"/>
        <v>101.08999999999999</v>
      </c>
      <c r="L150" s="176">
        <f t="shared" si="49"/>
        <v>102.08999999999999</v>
      </c>
      <c r="M150" s="176">
        <f t="shared" si="49"/>
        <v>103.08999999999999</v>
      </c>
      <c r="N150" s="176">
        <f t="shared" si="49"/>
        <v>104.08999999999999</v>
      </c>
      <c r="O150" s="176">
        <f t="shared" si="49"/>
        <v>105.08999999999999</v>
      </c>
      <c r="P150" s="176">
        <f t="shared" si="49"/>
        <v>106.08999999999999</v>
      </c>
    </row>
    <row r="151" spans="1:16" s="141" customFormat="1">
      <c r="A151" s="141" t="s">
        <v>73</v>
      </c>
      <c r="D151" s="143"/>
      <c r="E151" s="292">
        <v>0.1188</v>
      </c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</row>
    <row r="152" spans="1:16" s="141" customFormat="1">
      <c r="A152" s="157"/>
      <c r="B152" s="141" t="s">
        <v>67</v>
      </c>
      <c r="D152" s="14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</row>
    <row r="153" spans="1:16" s="141" customFormat="1">
      <c r="A153" s="144"/>
      <c r="B153" s="142"/>
      <c r="C153" s="147" t="s">
        <v>2</v>
      </c>
      <c r="D153" s="143"/>
      <c r="E153" s="142">
        <v>97</v>
      </c>
      <c r="G153" s="147">
        <f>($E153-SUM($F153:F153))*$E$151</f>
        <v>11.5236</v>
      </c>
      <c r="H153" s="147">
        <f>($E153-SUM($F153:G153))*$E$151</f>
        <v>10.15459632</v>
      </c>
      <c r="I153" s="147">
        <f>($E153-SUM($F153:H153))*$E$151</f>
        <v>8.9482302771840008</v>
      </c>
      <c r="J153" s="147">
        <f>($E153-SUM($F153:I153))*$E$151</f>
        <v>7.88518052025454</v>
      </c>
      <c r="K153" s="147">
        <f>($E153-SUM($F153:J153))*$E$151</f>
        <v>6.9484210744483015</v>
      </c>
      <c r="L153" s="147">
        <f>($E153-SUM($F153:K153))*$E$151</f>
        <v>6.1229486508038429</v>
      </c>
      <c r="M153" s="147">
        <f>($E153-SUM($F153:L153))*$E$151</f>
        <v>5.3955423510883458</v>
      </c>
      <c r="N153" s="147">
        <f>($E153-SUM($F153:M153))*$E$151</f>
        <v>4.7545519197790505</v>
      </c>
      <c r="O153" s="147">
        <f>($E153-SUM($F153:N153))*$E$151</f>
        <v>4.1897111517093002</v>
      </c>
      <c r="P153" s="147">
        <f>($E153-SUM($F153:O153))*$E$151</f>
        <v>3.6919734668862345</v>
      </c>
    </row>
    <row r="154" spans="1:16" s="141" customFormat="1">
      <c r="A154" s="144"/>
      <c r="B154" s="142"/>
      <c r="C154" s="147" t="s">
        <v>3</v>
      </c>
      <c r="D154" s="143"/>
      <c r="E154" s="142">
        <v>1</v>
      </c>
      <c r="G154" s="173"/>
      <c r="H154" s="147">
        <f>($E154-SUM($F154:G154))*$E$151</f>
        <v>0.1188</v>
      </c>
      <c r="I154" s="147">
        <f>($E154-SUM($F154:H154))*$E$151</f>
        <v>0.10468656</v>
      </c>
      <c r="J154" s="147">
        <f>($E154-SUM($F154:I154))*$E$151</f>
        <v>9.2249796672000006E-2</v>
      </c>
      <c r="K154" s="147">
        <f>($E154-SUM($F154:J154))*$E$151</f>
        <v>8.1290520827366403E-2</v>
      </c>
      <c r="L154" s="147">
        <f>($E154-SUM($F154:K154))*$E$151</f>
        <v>7.1633206953075276E-2</v>
      </c>
      <c r="M154" s="147">
        <f>($E154-SUM($F154:L154))*$E$151</f>
        <v>6.3123181967049927E-2</v>
      </c>
      <c r="N154" s="147">
        <f>($E154-SUM($F154:M154))*$E$151</f>
        <v>5.5624147949364398E-2</v>
      </c>
      <c r="O154" s="147">
        <f>($E154-SUM($F154:N154))*$E$151</f>
        <v>4.9015999172979906E-2</v>
      </c>
      <c r="P154" s="147">
        <f>($E154-SUM($F154:O154))*$E$133</f>
        <v>3.6357658645816408E-2</v>
      </c>
    </row>
    <row r="155" spans="1:16" s="141" customFormat="1">
      <c r="A155" s="144"/>
      <c r="B155" s="142"/>
      <c r="C155" s="147" t="s">
        <v>4</v>
      </c>
      <c r="D155" s="143"/>
      <c r="E155" s="142">
        <v>1</v>
      </c>
      <c r="G155" s="173"/>
      <c r="H155" s="147"/>
      <c r="I155" s="147">
        <f>($E155-SUM($F155:H155))*$E$151</f>
        <v>0.1188</v>
      </c>
      <c r="J155" s="147">
        <f>($E155-SUM($F155:I155))*$E$151</f>
        <v>0.10468656</v>
      </c>
      <c r="K155" s="147">
        <f>($E155-SUM($F155:J155))*$E$151</f>
        <v>9.2249796672000006E-2</v>
      </c>
      <c r="L155" s="147">
        <f>($E155-SUM($F155:K155))*$E$151</f>
        <v>8.1290520827366403E-2</v>
      </c>
      <c r="M155" s="147">
        <f>($E155-SUM($F155:L155))*$E$151</f>
        <v>7.1633206953075276E-2</v>
      </c>
      <c r="N155" s="147">
        <f>($E155-SUM($F155:M155))*$E$151</f>
        <v>6.3123181967049927E-2</v>
      </c>
      <c r="O155" s="147">
        <f>($E155-SUM($F155:N155))*$E$151</f>
        <v>5.5624147949364398E-2</v>
      </c>
      <c r="P155" s="147">
        <f>($E155-SUM($F155:O155))*$E$133</f>
        <v>4.1259258563114402E-2</v>
      </c>
    </row>
    <row r="156" spans="1:16" s="141" customFormat="1">
      <c r="A156" s="144"/>
      <c r="B156" s="142"/>
      <c r="C156" s="147" t="s">
        <v>5</v>
      </c>
      <c r="D156" s="143"/>
      <c r="E156" s="142">
        <v>1</v>
      </c>
      <c r="G156" s="173"/>
      <c r="H156" s="147"/>
      <c r="I156" s="147"/>
      <c r="J156" s="147">
        <f>($E156-SUM($F156:I156))*$E$151</f>
        <v>0.1188</v>
      </c>
      <c r="K156" s="147">
        <f>($E156-SUM($F156:J156))*$E$151</f>
        <v>0.10468656</v>
      </c>
      <c r="L156" s="147">
        <f>($E156-SUM($F156:K156))*$E$151</f>
        <v>9.2249796672000006E-2</v>
      </c>
      <c r="M156" s="147">
        <f>($E156-SUM($F156:L156))*$E$151</f>
        <v>8.1290520827366403E-2</v>
      </c>
      <c r="N156" s="147">
        <f>($E156-SUM($F156:M156))*$E$151</f>
        <v>7.1633206953075276E-2</v>
      </c>
      <c r="O156" s="147">
        <f>($E156-SUM($F156:N156))*$E$151</f>
        <v>6.3123181967049927E-2</v>
      </c>
      <c r="P156" s="147">
        <f>($E156-SUM($F156:O156))*$E$133</f>
        <v>4.6821673358050847E-2</v>
      </c>
    </row>
    <row r="157" spans="1:16" s="141" customFormat="1">
      <c r="A157" s="144"/>
      <c r="B157" s="142"/>
      <c r="C157" s="147" t="s">
        <v>6</v>
      </c>
      <c r="D157" s="143"/>
      <c r="E157" s="142">
        <v>1</v>
      </c>
      <c r="G157" s="173"/>
      <c r="H157" s="147"/>
      <c r="I157" s="147"/>
      <c r="J157" s="147"/>
      <c r="K157" s="147">
        <f>($E157-SUM($F157:J157))*$E$151</f>
        <v>0.1188</v>
      </c>
      <c r="L157" s="147">
        <f>($E157-SUM($F157:K157))*$E$151</f>
        <v>0.10468656</v>
      </c>
      <c r="M157" s="147">
        <f>($E157-SUM($F157:L157))*$E$151</f>
        <v>9.2249796672000006E-2</v>
      </c>
      <c r="N157" s="147">
        <f>($E157-SUM($F157:M157))*$E$151</f>
        <v>8.1290520827366403E-2</v>
      </c>
      <c r="O157" s="147">
        <f>($E157-SUM($F157:N157))*$E$151</f>
        <v>7.1633206953075276E-2</v>
      </c>
      <c r="P157" s="147">
        <f>($E157-SUM($F157:O157))*$E$133</f>
        <v>5.3133991554755837E-2</v>
      </c>
    </row>
    <row r="158" spans="1:16" s="141" customFormat="1">
      <c r="A158" s="144"/>
      <c r="B158" s="142"/>
      <c r="C158" s="147" t="s">
        <v>8</v>
      </c>
      <c r="D158" s="143"/>
      <c r="E158" s="142">
        <v>1</v>
      </c>
      <c r="G158" s="173"/>
      <c r="H158" s="147"/>
      <c r="I158" s="147"/>
      <c r="J158" s="147"/>
      <c r="K158" s="147"/>
      <c r="L158" s="147">
        <f>($E158-SUM($F158:K158))*$E$151</f>
        <v>0.1188</v>
      </c>
      <c r="M158" s="147">
        <f>($E158-SUM($F158:L158))*$E$151</f>
        <v>0.10468656</v>
      </c>
      <c r="N158" s="147">
        <f>($E158-SUM($F158:M158))*$E$151</f>
        <v>9.2249796672000006E-2</v>
      </c>
      <c r="O158" s="147">
        <f>($E158-SUM($F158:N158))*$E$151</f>
        <v>8.1290520827366403E-2</v>
      </c>
      <c r="P158" s="147">
        <f>($E158-SUM($F158:O158))*$E$133</f>
        <v>6.0297312250063365E-2</v>
      </c>
    </row>
    <row r="159" spans="1:16" s="141" customFormat="1">
      <c r="A159" s="144"/>
      <c r="B159" s="142"/>
      <c r="C159" s="147" t="s">
        <v>9</v>
      </c>
      <c r="D159" s="143"/>
      <c r="E159" s="142">
        <v>1</v>
      </c>
      <c r="G159" s="173"/>
      <c r="H159" s="147"/>
      <c r="I159" s="147"/>
      <c r="J159" s="147"/>
      <c r="K159" s="147"/>
      <c r="L159" s="147"/>
      <c r="M159" s="147">
        <f>($E159-SUM($F159:L159))*$E$151</f>
        <v>0.1188</v>
      </c>
      <c r="N159" s="147">
        <f>($E159-SUM($F159:M159))*$E$151</f>
        <v>0.10468656</v>
      </c>
      <c r="O159" s="147">
        <f>($E159-SUM($F159:N159))*$E$151</f>
        <v>9.2249796672000006E-2</v>
      </c>
      <c r="P159" s="147">
        <f>($E159-SUM($F159:O159))*$E$133</f>
        <v>6.8426364332800013E-2</v>
      </c>
    </row>
    <row r="160" spans="1:16" s="141" customFormat="1">
      <c r="A160" s="144"/>
      <c r="B160" s="142"/>
      <c r="C160" s="147" t="s">
        <v>10</v>
      </c>
      <c r="D160" s="143"/>
      <c r="E160" s="142">
        <v>1</v>
      </c>
      <c r="G160" s="173"/>
      <c r="H160" s="147"/>
      <c r="I160" s="147"/>
      <c r="J160" s="147"/>
      <c r="K160" s="147"/>
      <c r="L160" s="147"/>
      <c r="M160" s="147"/>
      <c r="N160" s="147">
        <f>($E160-SUM($F160:M160))*$E$151</f>
        <v>0.1188</v>
      </c>
      <c r="O160" s="147">
        <f>($E160-SUM($F160:N160))*$E$151</f>
        <v>0.10468656</v>
      </c>
      <c r="P160" s="147">
        <f>($E160-SUM($F160:O160))*$E$133</f>
        <v>7.7651344000000011E-2</v>
      </c>
    </row>
    <row r="161" spans="1:16" s="141" customFormat="1">
      <c r="A161" s="144"/>
      <c r="B161" s="142"/>
      <c r="C161" s="147" t="s">
        <v>11</v>
      </c>
      <c r="D161" s="143"/>
      <c r="E161" s="142">
        <v>1</v>
      </c>
      <c r="G161" s="173"/>
      <c r="H161" s="173"/>
      <c r="I161" s="173"/>
      <c r="J161" s="173"/>
      <c r="K161" s="173"/>
      <c r="L161" s="173"/>
      <c r="M161" s="173"/>
      <c r="N161" s="147"/>
      <c r="O161" s="147">
        <f>($E161-SUM($F161:N161))*$E$151</f>
        <v>0.1188</v>
      </c>
      <c r="P161" s="147">
        <f>($E161-SUM($F161:O161))*$E$133</f>
        <v>8.8120000000000004E-2</v>
      </c>
    </row>
    <row r="162" spans="1:16" s="141" customFormat="1">
      <c r="A162" s="144"/>
      <c r="B162" s="142"/>
      <c r="C162" s="147" t="s">
        <v>12</v>
      </c>
      <c r="D162" s="143"/>
      <c r="E162" s="142">
        <v>1</v>
      </c>
      <c r="G162" s="173"/>
      <c r="H162" s="173"/>
      <c r="I162" s="173"/>
      <c r="J162" s="173"/>
      <c r="K162" s="173"/>
      <c r="L162" s="173"/>
      <c r="M162" s="173"/>
      <c r="N162" s="147"/>
      <c r="O162" s="147"/>
      <c r="P162" s="147">
        <f>($E162-SUM($F162:O162))*$E$133</f>
        <v>0.1</v>
      </c>
    </row>
    <row r="163" spans="1:16" s="141" customFormat="1">
      <c r="A163" s="157"/>
      <c r="C163" s="166" t="s">
        <v>68</v>
      </c>
      <c r="D163" s="166"/>
      <c r="E163" s="166"/>
      <c r="F163" s="166"/>
      <c r="G163" s="166">
        <f>SUM(G153:G162)</f>
        <v>11.5236</v>
      </c>
      <c r="H163" s="166">
        <f t="shared" ref="H163:P163" si="50">SUM(H153:H162)</f>
        <v>10.27339632</v>
      </c>
      <c r="I163" s="166">
        <f t="shared" si="50"/>
        <v>9.1717168371840003</v>
      </c>
      <c r="J163" s="166">
        <f t="shared" si="50"/>
        <v>8.2009168769265397</v>
      </c>
      <c r="K163" s="166">
        <f t="shared" si="50"/>
        <v>7.3454479519476683</v>
      </c>
      <c r="L163" s="166">
        <f t="shared" si="50"/>
        <v>6.5916087352562851</v>
      </c>
      <c r="M163" s="166">
        <f t="shared" si="50"/>
        <v>5.9273256175078384</v>
      </c>
      <c r="N163" s="166">
        <f t="shared" si="50"/>
        <v>5.3419593341479077</v>
      </c>
      <c r="O163" s="166">
        <f t="shared" si="50"/>
        <v>4.8261345652511372</v>
      </c>
      <c r="P163" s="166">
        <f t="shared" si="50"/>
        <v>4.2640410695908351</v>
      </c>
    </row>
    <row r="164" spans="1:16" s="141" customFormat="1">
      <c r="A164" s="141" t="s">
        <v>73</v>
      </c>
      <c r="D164" s="143"/>
      <c r="E164" s="294">
        <v>0.15</v>
      </c>
      <c r="F164" s="293"/>
    </row>
    <row r="165" spans="1:16" s="141" customFormat="1">
      <c r="A165" s="157" t="s">
        <v>234</v>
      </c>
      <c r="B165" s="141" t="s">
        <v>67</v>
      </c>
      <c r="D165" s="143"/>
    </row>
    <row r="166" spans="1:16">
      <c r="A166" s="144"/>
      <c r="C166" s="147" t="s">
        <v>2</v>
      </c>
      <c r="E166" s="142">
        <v>97</v>
      </c>
      <c r="F166" s="147"/>
      <c r="G166" s="147">
        <f>($E166-SUM($F166:F166))*$E$164</f>
        <v>14.549999999999999</v>
      </c>
      <c r="H166" s="147">
        <f>($E166-SUM($F166:G166))*$E$164</f>
        <v>12.3675</v>
      </c>
      <c r="I166" s="147">
        <f>($E166-SUM($F166:H166))*$E$164</f>
        <v>10.512375</v>
      </c>
      <c r="J166" s="147">
        <f>($E166-SUM($F166:I166))*$E$164</f>
        <v>8.93551875</v>
      </c>
      <c r="K166" s="147">
        <f>($E166-SUM($F166:J166))*$E$164</f>
        <v>7.5951909375</v>
      </c>
      <c r="L166" s="147">
        <f>($E166-SUM($F166:K166))*$E$164</f>
        <v>6.4559122968750007</v>
      </c>
      <c r="M166" s="147">
        <f>($E166-SUM($F166:L166))*$E$164</f>
        <v>5.4875254523437507</v>
      </c>
      <c r="N166" s="147">
        <f>($E166-SUM($F166:M166))*$E$164</f>
        <v>4.6643966344921877</v>
      </c>
      <c r="O166" s="147">
        <f>($E166-SUM($F166:N166))*$E$164</f>
        <v>3.964737139318359</v>
      </c>
      <c r="P166" s="147">
        <f>($E166-SUM($F166:O166))*$E$164</f>
        <v>3.370026568420605</v>
      </c>
    </row>
    <row r="167" spans="1:16">
      <c r="A167" s="144"/>
      <c r="C167" s="147" t="s">
        <v>3</v>
      </c>
      <c r="E167" s="142">
        <v>1</v>
      </c>
      <c r="F167" s="147"/>
      <c r="G167" s="147"/>
      <c r="H167" s="147">
        <f>($E167-SUM($F167:G167))*$E$164</f>
        <v>0.15</v>
      </c>
      <c r="I167" s="147">
        <f>($E167-SUM($F167:H167))*$E$164</f>
        <v>0.1275</v>
      </c>
      <c r="J167" s="147">
        <f>($E167-SUM($F167:I167))*$E$164</f>
        <v>0.108375</v>
      </c>
      <c r="K167" s="147">
        <f>($E167-SUM($F167:J167))*$E$164</f>
        <v>9.2118749999999999E-2</v>
      </c>
      <c r="L167" s="147">
        <f>($E167-SUM($F167:K167))*$E$164</f>
        <v>7.8300937500000001E-2</v>
      </c>
      <c r="M167" s="147">
        <f>($E167-SUM($F167:L167))*$E$164</f>
        <v>6.6555796875000003E-2</v>
      </c>
      <c r="N167" s="147">
        <f>($E167-SUM($F167:M167))*$E$164</f>
        <v>5.6572427343749995E-2</v>
      </c>
      <c r="O167" s="147">
        <f>($E167-SUM($F167:N167))*$E$164</f>
        <v>4.8086563242187498E-2</v>
      </c>
      <c r="P167" s="147">
        <f>($E167-SUM($F167:O167))*$E$164</f>
        <v>4.0873578755859369E-2</v>
      </c>
    </row>
    <row r="168" spans="1:16">
      <c r="A168" s="144"/>
      <c r="C168" s="147" t="s">
        <v>4</v>
      </c>
      <c r="E168" s="142">
        <v>1</v>
      </c>
      <c r="F168" s="147"/>
      <c r="G168" s="147"/>
      <c r="H168" s="147"/>
      <c r="I168" s="147">
        <f>($E168-SUM($F168:H168))*$E$164</f>
        <v>0.15</v>
      </c>
      <c r="J168" s="147">
        <f>($E168-SUM($F168:I168))*$E$164</f>
        <v>0.1275</v>
      </c>
      <c r="K168" s="147">
        <f>($E168-SUM($F168:J168))*$E$164</f>
        <v>0.108375</v>
      </c>
      <c r="L168" s="147">
        <f>($E168-SUM($F168:K168))*$E$164</f>
        <v>9.2118749999999999E-2</v>
      </c>
      <c r="M168" s="147">
        <f>($E168-SUM($F168:L168))*$E$164</f>
        <v>7.8300937500000001E-2</v>
      </c>
      <c r="N168" s="147">
        <f>($E168-SUM($F168:M168))*$E$164</f>
        <v>6.6555796875000003E-2</v>
      </c>
      <c r="O168" s="147">
        <f>($E168-SUM($F168:N168))*$E$164</f>
        <v>5.6572427343749995E-2</v>
      </c>
      <c r="P168" s="147">
        <f>($E168-SUM($F168:O168))*$E$164</f>
        <v>4.8086563242187498E-2</v>
      </c>
    </row>
    <row r="169" spans="1:16">
      <c r="A169" s="144"/>
      <c r="C169" s="147" t="s">
        <v>5</v>
      </c>
      <c r="E169" s="142">
        <v>1</v>
      </c>
      <c r="F169" s="147"/>
      <c r="G169" s="147"/>
      <c r="H169" s="147"/>
      <c r="I169" s="147"/>
      <c r="J169" s="147">
        <f>($E169-SUM($F169:I169))*$E$164</f>
        <v>0.15</v>
      </c>
      <c r="K169" s="147">
        <f>($E169-SUM($F169:J169))*$E$164</f>
        <v>0.1275</v>
      </c>
      <c r="L169" s="147">
        <f>($E169-SUM($F169:K169))*$E$164</f>
        <v>0.108375</v>
      </c>
      <c r="M169" s="147">
        <f>($E169-SUM($F169:L169))*$E$164</f>
        <v>9.2118749999999999E-2</v>
      </c>
      <c r="N169" s="147">
        <f>($E169-SUM($F169:M169))*$E$164</f>
        <v>7.8300937500000001E-2</v>
      </c>
      <c r="O169" s="147">
        <f>($E169-SUM($F169:N169))*$E$164</f>
        <v>6.6555796875000003E-2</v>
      </c>
      <c r="P169" s="147">
        <f>($E169-SUM($F169:O169))*$E$164</f>
        <v>5.6572427343749995E-2</v>
      </c>
    </row>
    <row r="170" spans="1:16">
      <c r="A170" s="144"/>
      <c r="C170" s="147" t="s">
        <v>6</v>
      </c>
      <c r="E170" s="142">
        <v>1</v>
      </c>
      <c r="F170" s="147"/>
      <c r="G170" s="147"/>
      <c r="H170" s="147"/>
      <c r="I170" s="147"/>
      <c r="J170" s="147"/>
      <c r="K170" s="147">
        <f>($E170-SUM($F170:J170))*$E$164</f>
        <v>0.15</v>
      </c>
      <c r="L170" s="147">
        <f>($E170-SUM($F170:K170))*$E$164</f>
        <v>0.1275</v>
      </c>
      <c r="M170" s="147">
        <f>($E170-SUM($F170:L170))*$E$164</f>
        <v>0.108375</v>
      </c>
      <c r="N170" s="147">
        <f>($E170-SUM($F170:M170))*$E$164</f>
        <v>9.2118749999999999E-2</v>
      </c>
      <c r="O170" s="147">
        <f>($E170-SUM($F170:N170))*$E$164</f>
        <v>7.8300937500000001E-2</v>
      </c>
      <c r="P170" s="147">
        <f>($E170-SUM($F170:O170))*$E$164</f>
        <v>6.6555796875000003E-2</v>
      </c>
    </row>
    <row r="171" spans="1:16">
      <c r="A171" s="144"/>
      <c r="C171" s="147" t="s">
        <v>8</v>
      </c>
      <c r="E171" s="142">
        <v>1</v>
      </c>
      <c r="F171" s="147"/>
      <c r="G171" s="147"/>
      <c r="H171" s="147"/>
      <c r="I171" s="147"/>
      <c r="J171" s="147"/>
      <c r="K171" s="147"/>
      <c r="L171" s="147">
        <f>($E171-SUM($F171:K171))*$E$164</f>
        <v>0.15</v>
      </c>
      <c r="M171" s="147">
        <f>($E171-SUM($F171:L171))*$E$164</f>
        <v>0.1275</v>
      </c>
      <c r="N171" s="147">
        <f>($E171-SUM($F171:M171))*$E$164</f>
        <v>0.108375</v>
      </c>
      <c r="O171" s="147">
        <f>($E171-SUM($F171:N171))*$E$164</f>
        <v>9.2118749999999999E-2</v>
      </c>
      <c r="P171" s="147">
        <f>($E171-SUM($F171:O171))*$E$164</f>
        <v>7.8300937500000001E-2</v>
      </c>
    </row>
    <row r="172" spans="1:16">
      <c r="A172" s="144"/>
      <c r="C172" s="147" t="s">
        <v>9</v>
      </c>
      <c r="E172" s="142">
        <v>1</v>
      </c>
      <c r="F172" s="147"/>
      <c r="G172" s="147"/>
      <c r="H172" s="147"/>
      <c r="I172" s="147"/>
      <c r="J172" s="147"/>
      <c r="K172" s="147"/>
      <c r="L172" s="147"/>
      <c r="M172" s="147">
        <f>($E172-SUM($F172:L172))*$E$164</f>
        <v>0.15</v>
      </c>
      <c r="N172" s="147">
        <f>($E172-SUM($F172:M172))*$E$164</f>
        <v>0.1275</v>
      </c>
      <c r="O172" s="147">
        <f>($E172-SUM($F172:N172))*$E$164</f>
        <v>0.108375</v>
      </c>
      <c r="P172" s="147">
        <f>($E172-SUM($F172:O172))*$E$164</f>
        <v>9.2118749999999999E-2</v>
      </c>
    </row>
    <row r="173" spans="1:16">
      <c r="A173" s="144"/>
      <c r="C173" s="147" t="s">
        <v>10</v>
      </c>
      <c r="E173" s="142">
        <v>1</v>
      </c>
      <c r="F173" s="147"/>
      <c r="G173" s="147"/>
      <c r="H173" s="147"/>
      <c r="I173" s="147"/>
      <c r="J173" s="147"/>
      <c r="K173" s="147"/>
      <c r="L173" s="147"/>
      <c r="M173" s="147"/>
      <c r="N173" s="147">
        <f>($E173-SUM($F173:M173))*$E$164</f>
        <v>0.15</v>
      </c>
      <c r="O173" s="147">
        <f>($E173-SUM($F173:N173))*$E$164</f>
        <v>0.1275</v>
      </c>
      <c r="P173" s="147">
        <f>($E173-SUM($F173:O173))*$E$164</f>
        <v>0.108375</v>
      </c>
    </row>
    <row r="174" spans="1:16">
      <c r="A174" s="144"/>
      <c r="C174" s="147" t="s">
        <v>11</v>
      </c>
      <c r="E174" s="142">
        <v>1</v>
      </c>
      <c r="F174" s="147"/>
      <c r="G174" s="147"/>
      <c r="H174" s="147"/>
      <c r="I174" s="147"/>
      <c r="J174" s="147"/>
      <c r="K174" s="147"/>
      <c r="L174" s="147"/>
      <c r="M174" s="147"/>
      <c r="N174" s="147"/>
      <c r="O174" s="147">
        <f>($E174-SUM($F174:N174))*$E$164</f>
        <v>0.15</v>
      </c>
      <c r="P174" s="147">
        <f>($E174-SUM($F174:O174))*$E$164</f>
        <v>0.1275</v>
      </c>
    </row>
    <row r="175" spans="1:16">
      <c r="A175" s="144"/>
      <c r="C175" s="147" t="s">
        <v>12</v>
      </c>
      <c r="E175" s="142">
        <v>1</v>
      </c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</row>
    <row r="176" spans="1:16" s="141" customFormat="1">
      <c r="A176" s="157"/>
      <c r="C176" s="176" t="s">
        <v>68</v>
      </c>
      <c r="D176" s="167"/>
      <c r="E176" s="166"/>
      <c r="F176" s="166"/>
      <c r="G176" s="166">
        <f>SUM(G166:G175)</f>
        <v>14.549999999999999</v>
      </c>
      <c r="H176" s="166">
        <f t="shared" ref="H176:P176" si="51">SUM(H166:H175)</f>
        <v>12.5175</v>
      </c>
      <c r="I176" s="166">
        <f t="shared" si="51"/>
        <v>10.789875</v>
      </c>
      <c r="J176" s="166">
        <f t="shared" si="51"/>
        <v>9.3213937500000004</v>
      </c>
      <c r="K176" s="166">
        <f t="shared" si="51"/>
        <v>8.0731846874999995</v>
      </c>
      <c r="L176" s="166">
        <f t="shared" si="51"/>
        <v>7.012206984375001</v>
      </c>
      <c r="M176" s="166">
        <f t="shared" si="51"/>
        <v>6.1103759367187509</v>
      </c>
      <c r="N176" s="166">
        <f t="shared" si="51"/>
        <v>5.3438195462109377</v>
      </c>
      <c r="O176" s="166">
        <f t="shared" si="51"/>
        <v>4.6922466142792967</v>
      </c>
      <c r="P176" s="166">
        <f t="shared" si="51"/>
        <v>3.9884096221374015</v>
      </c>
    </row>
    <row r="177" spans="1:16">
      <c r="A177" s="141" t="s">
        <v>69</v>
      </c>
      <c r="C177" s="142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</row>
    <row r="178" spans="1:16" ht="16.5" thickBot="1">
      <c r="A178" s="144"/>
      <c r="B178" s="173" t="s">
        <v>40</v>
      </c>
      <c r="C178" s="141"/>
      <c r="D178" s="143"/>
      <c r="E178" s="141"/>
      <c r="F178" s="141"/>
      <c r="G178" s="295">
        <f>SUM(G12+G18+G24+G37+G50+G56+G69+G82+G87+G101+G114+G119+G132+G145+G150+G163+G176)</f>
        <v>2846.8752599999998</v>
      </c>
      <c r="H178" s="296">
        <v>2691.47</v>
      </c>
      <c r="I178" s="296">
        <v>2592.46</v>
      </c>
      <c r="J178" s="296">
        <v>3101.9</v>
      </c>
      <c r="K178" s="297">
        <v>3985.46</v>
      </c>
      <c r="L178" s="298">
        <v>129</v>
      </c>
      <c r="M178" s="298">
        <v>103</v>
      </c>
      <c r="N178" s="298">
        <v>82.5</v>
      </c>
      <c r="O178" s="298">
        <v>47.5</v>
      </c>
      <c r="P178" s="298">
        <v>54.5</v>
      </c>
    </row>
    <row r="179" spans="1:16" ht="16.5" thickTop="1">
      <c r="A179" s="144"/>
      <c r="B179" s="173" t="s">
        <v>70</v>
      </c>
      <c r="C179" s="141"/>
      <c r="D179" s="143"/>
      <c r="E179" s="141"/>
      <c r="F179" s="141"/>
      <c r="G179" s="141">
        <f>SUM(G37,G69,G101,G132,G163)</f>
        <v>91.865759999999995</v>
      </c>
      <c r="H179" s="141">
        <f t="shared" ref="H179:P179" si="52">SUM(H37,H69,H101,H132,H163)</f>
        <v>98.509382069999987</v>
      </c>
      <c r="I179" s="141">
        <f t="shared" si="52"/>
        <v>103.997609640934</v>
      </c>
      <c r="J179" s="141">
        <f t="shared" si="52"/>
        <v>107.26411030432031</v>
      </c>
      <c r="K179" s="141">
        <f t="shared" si="52"/>
        <v>114.127494263739</v>
      </c>
      <c r="L179" s="141">
        <f t="shared" si="52"/>
        <v>113.46622009242745</v>
      </c>
      <c r="M179" s="141">
        <f t="shared" si="52"/>
        <v>111.60623834074774</v>
      </c>
      <c r="N179" s="141">
        <f t="shared" si="52"/>
        <v>108.82692579368002</v>
      </c>
      <c r="O179" s="141">
        <f t="shared" si="52"/>
        <v>103.7556426561277</v>
      </c>
      <c r="P179" s="141">
        <f t="shared" si="52"/>
        <v>100.33112433683412</v>
      </c>
    </row>
    <row r="180" spans="1:16">
      <c r="A180" s="144"/>
      <c r="B180" s="173" t="s">
        <v>71</v>
      </c>
      <c r="C180" s="141"/>
      <c r="D180" s="143"/>
      <c r="E180" s="141"/>
      <c r="F180" s="141"/>
      <c r="G180" s="141">
        <f>SUM(G50,G82,G114,G145,G176)</f>
        <v>124.87949999999999</v>
      </c>
      <c r="H180" s="141">
        <f t="shared" ref="H180:P180" si="53">SUM(H50,H82,H114,H145,H176)</f>
        <v>138.19692499999999</v>
      </c>
      <c r="I180" s="141">
        <f t="shared" si="53"/>
        <v>142.50235125</v>
      </c>
      <c r="J180" s="141">
        <f t="shared" si="53"/>
        <v>146.75388706250001</v>
      </c>
      <c r="K180" s="141">
        <f t="shared" si="53"/>
        <v>156.593085653125</v>
      </c>
      <c r="L180" s="141">
        <f t="shared" si="53"/>
        <v>151.40281549015626</v>
      </c>
      <c r="M180" s="141">
        <f t="shared" si="53"/>
        <v>144.0824401031328</v>
      </c>
      <c r="N180" s="141">
        <f t="shared" si="53"/>
        <v>135.56485044251289</v>
      </c>
      <c r="O180" s="141">
        <f t="shared" si="53"/>
        <v>121.62417435189629</v>
      </c>
      <c r="P180" s="141">
        <f t="shared" si="53"/>
        <v>110.24036614987673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7"/>
  <sheetViews>
    <sheetView showGridLines="0" topLeftCell="A4" workbookViewId="0">
      <selection activeCell="G16" sqref="G16"/>
    </sheetView>
  </sheetViews>
  <sheetFormatPr defaultColWidth="8" defaultRowHeight="15"/>
  <cols>
    <col min="1" max="2" width="3.25" style="69" customWidth="1"/>
    <col min="3" max="3" width="26.875" style="69" customWidth="1"/>
    <col min="4" max="4" width="5.875" style="69" customWidth="1"/>
    <col min="5" max="5" width="8.625" style="260" bestFit="1" customWidth="1"/>
    <col min="6" max="6" width="5.875" style="69" customWidth="1"/>
    <col min="7" max="7" width="9.625" style="69" customWidth="1"/>
    <col min="8" max="8" width="9.875" style="69" customWidth="1"/>
    <col min="9" max="11" width="9.375" style="69" customWidth="1"/>
    <col min="12" max="16" width="11.125" style="69" customWidth="1"/>
    <col min="17" max="16384" width="8" style="69"/>
  </cols>
  <sheetData>
    <row r="1" spans="1:16" ht="15.75">
      <c r="A1" s="80" t="s">
        <v>88</v>
      </c>
      <c r="D1" s="80"/>
      <c r="E1" s="10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>
      <c r="B2" s="69" t="s">
        <v>1</v>
      </c>
      <c r="C2" s="99"/>
      <c r="F2" s="261"/>
      <c r="G2" s="262">
        <f>F2+1</f>
        <v>1</v>
      </c>
      <c r="H2" s="262">
        <f t="shared" ref="H2:P2" si="0">G2+1</f>
        <v>2</v>
      </c>
      <c r="I2" s="262">
        <f t="shared" si="0"/>
        <v>3</v>
      </c>
      <c r="J2" s="262">
        <f t="shared" si="0"/>
        <v>4</v>
      </c>
      <c r="K2" s="262">
        <f t="shared" si="0"/>
        <v>5</v>
      </c>
      <c r="L2" s="262">
        <f t="shared" si="0"/>
        <v>6</v>
      </c>
      <c r="M2" s="262">
        <f t="shared" si="0"/>
        <v>7</v>
      </c>
      <c r="N2" s="262">
        <f t="shared" si="0"/>
        <v>8</v>
      </c>
      <c r="O2" s="262">
        <f t="shared" si="0"/>
        <v>9</v>
      </c>
      <c r="P2" s="262">
        <f t="shared" si="0"/>
        <v>10</v>
      </c>
    </row>
    <row r="3" spans="1:16" s="263" customFormat="1" ht="15.75">
      <c r="E3" s="264"/>
      <c r="F3" s="265"/>
    </row>
    <row r="4" spans="1:16" ht="15.75">
      <c r="A4" s="266" t="s">
        <v>602</v>
      </c>
      <c r="B4" s="267"/>
      <c r="C4" s="268"/>
      <c r="D4" s="268"/>
      <c r="E4" s="269"/>
      <c r="F4" s="267"/>
      <c r="G4" s="270" t="s">
        <v>2</v>
      </c>
      <c r="H4" s="270" t="s">
        <v>3</v>
      </c>
      <c r="I4" s="270" t="s">
        <v>4</v>
      </c>
      <c r="J4" s="270" t="s">
        <v>5</v>
      </c>
      <c r="K4" s="270" t="s">
        <v>6</v>
      </c>
      <c r="L4" s="270" t="s">
        <v>8</v>
      </c>
      <c r="M4" s="270" t="s">
        <v>9</v>
      </c>
      <c r="N4" s="270" t="s">
        <v>10</v>
      </c>
      <c r="O4" s="270" t="s">
        <v>11</v>
      </c>
      <c r="P4" s="270" t="s">
        <v>12</v>
      </c>
    </row>
    <row r="5" spans="1:16" ht="15.75">
      <c r="A5" s="80" t="s">
        <v>89</v>
      </c>
      <c r="E5" s="271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spans="1:16" s="80" customFormat="1" ht="15.75">
      <c r="A6" s="272"/>
      <c r="B6" s="80" t="s">
        <v>90</v>
      </c>
      <c r="C6" s="272"/>
      <c r="E6" s="100"/>
      <c r="G6" s="273"/>
      <c r="H6" s="273"/>
      <c r="I6" s="273"/>
      <c r="J6" s="273"/>
      <c r="K6" s="273"/>
      <c r="L6" s="273"/>
      <c r="M6" s="273"/>
      <c r="N6" s="273"/>
      <c r="O6" s="273"/>
      <c r="P6" s="273"/>
    </row>
    <row r="7" spans="1:16" ht="15.75">
      <c r="A7" s="99"/>
      <c r="C7" s="274" t="s">
        <v>42</v>
      </c>
      <c r="D7" s="254"/>
      <c r="E7" s="111"/>
      <c r="G7" s="262">
        <f>'Balance Sheet '!F22</f>
        <v>5303</v>
      </c>
      <c r="H7" s="262">
        <f>'Balance Sheet '!G22</f>
        <v>5794</v>
      </c>
      <c r="I7" s="262">
        <f>'Balance Sheet '!H22</f>
        <v>7014</v>
      </c>
      <c r="J7" s="262">
        <f>'Balance Sheet '!I22</f>
        <v>8298</v>
      </c>
      <c r="K7" s="262">
        <f>'Balance Sheet '!J22</f>
        <v>9681</v>
      </c>
      <c r="L7" s="262">
        <f>'Balance Sheet '!K22</f>
        <v>4107</v>
      </c>
      <c r="M7" s="262">
        <f>'Balance Sheet '!L22</f>
        <v>4993</v>
      </c>
      <c r="N7" s="262">
        <f>'Balance Sheet '!M22</f>
        <v>4829</v>
      </c>
      <c r="O7" s="262">
        <f>'Balance Sheet '!N22</f>
        <v>4540</v>
      </c>
      <c r="P7" s="262">
        <f>'Balance Sheet '!O22</f>
        <v>3958</v>
      </c>
    </row>
    <row r="8" spans="1:16" ht="15.75">
      <c r="A8" s="99"/>
      <c r="C8" s="274" t="s">
        <v>43</v>
      </c>
      <c r="D8" s="254"/>
      <c r="E8" s="111"/>
      <c r="G8" s="262">
        <f>'Balance Sheet '!F23</f>
        <v>113</v>
      </c>
      <c r="H8" s="262">
        <f>'Balance Sheet '!G23</f>
        <v>119</v>
      </c>
      <c r="I8" s="262">
        <f>'Balance Sheet '!H23</f>
        <v>244</v>
      </c>
      <c r="J8" s="262">
        <f>'Balance Sheet '!I23</f>
        <v>328</v>
      </c>
      <c r="K8" s="262">
        <f>'Balance Sheet '!J23</f>
        <v>400</v>
      </c>
      <c r="L8" s="262">
        <f>'Balance Sheet '!K23</f>
        <v>447.78356164383558</v>
      </c>
      <c r="M8" s="262">
        <f>'Balance Sheet '!L23</f>
        <v>495.65479452054797</v>
      </c>
      <c r="N8" s="262">
        <f>'Balance Sheet '!M23</f>
        <v>550.61095890410957</v>
      </c>
      <c r="O8" s="262">
        <f>'Balance Sheet '!N23</f>
        <v>585.37260273972606</v>
      </c>
      <c r="P8" s="262">
        <f>'Balance Sheet '!O23</f>
        <v>643.10136986301359</v>
      </c>
    </row>
    <row r="9" spans="1:16" ht="15.75">
      <c r="A9" s="99"/>
      <c r="C9" s="274" t="s">
        <v>45</v>
      </c>
      <c r="D9" s="254"/>
      <c r="E9" s="111"/>
      <c r="G9" s="262">
        <v>260</v>
      </c>
      <c r="H9" s="262">
        <v>166</v>
      </c>
      <c r="I9" s="262">
        <v>170</v>
      </c>
      <c r="J9" s="262">
        <v>192</v>
      </c>
      <c r="K9" s="262">
        <v>110</v>
      </c>
      <c r="L9" s="262">
        <f>'Balance Sheet '!K25</f>
        <v>1500</v>
      </c>
      <c r="M9" s="262">
        <f>'Balance Sheet '!L25</f>
        <v>1500</v>
      </c>
      <c r="N9" s="262">
        <f>'Balance Sheet '!M25</f>
        <v>1500</v>
      </c>
      <c r="O9" s="262">
        <f>'Balance Sheet '!N25</f>
        <v>1500</v>
      </c>
      <c r="P9" s="262">
        <f>'Balance Sheet '!O25</f>
        <v>2000</v>
      </c>
    </row>
    <row r="10" spans="1:16" s="67" customFormat="1" ht="15.75">
      <c r="A10" s="93"/>
      <c r="C10" s="78" t="s">
        <v>554</v>
      </c>
      <c r="D10" s="78"/>
      <c r="E10" s="78"/>
      <c r="F10" s="77"/>
      <c r="G10" s="275">
        <f>SUM(G7:G9)</f>
        <v>5676</v>
      </c>
      <c r="H10" s="275">
        <f t="shared" ref="H10:K10" si="1">SUM(H7:H9)</f>
        <v>6079</v>
      </c>
      <c r="I10" s="275">
        <f t="shared" si="1"/>
        <v>7428</v>
      </c>
      <c r="J10" s="275">
        <f t="shared" si="1"/>
        <v>8818</v>
      </c>
      <c r="K10" s="275">
        <f t="shared" si="1"/>
        <v>10191</v>
      </c>
      <c r="L10" s="81">
        <f>SUM(L7:L9)</f>
        <v>6054.7835616438351</v>
      </c>
      <c r="M10" s="81">
        <f t="shared" ref="M10:P10" si="2">SUM(M7:M9)</f>
        <v>6988.6547945205475</v>
      </c>
      <c r="N10" s="81">
        <f t="shared" si="2"/>
        <v>6879.6109589041098</v>
      </c>
      <c r="O10" s="81">
        <f t="shared" si="2"/>
        <v>6625.3726027397261</v>
      </c>
      <c r="P10" s="81">
        <f t="shared" si="2"/>
        <v>6601.101369863014</v>
      </c>
    </row>
    <row r="11" spans="1:16" s="67" customFormat="1" ht="15.75">
      <c r="A11" s="93"/>
      <c r="B11" s="80" t="s">
        <v>91</v>
      </c>
      <c r="C11" s="274"/>
      <c r="D11" s="254"/>
      <c r="E11" s="276"/>
      <c r="G11" s="273"/>
      <c r="H11" s="273"/>
      <c r="I11" s="273"/>
      <c r="J11" s="273"/>
      <c r="K11" s="273"/>
      <c r="L11" s="90"/>
      <c r="M11" s="90"/>
      <c r="N11" s="90"/>
      <c r="O11" s="90"/>
      <c r="P11" s="90"/>
    </row>
    <row r="12" spans="1:16" ht="15.75">
      <c r="A12" s="99"/>
      <c r="C12" s="274" t="s">
        <v>26</v>
      </c>
      <c r="D12" s="254"/>
      <c r="E12" s="277"/>
      <c r="F12" s="262"/>
      <c r="G12" s="262">
        <f>'Balance Sheet '!F12</f>
        <v>690</v>
      </c>
      <c r="H12" s="262">
        <f>'Balance Sheet '!G12</f>
        <v>657</v>
      </c>
      <c r="I12" s="262">
        <f>'Balance Sheet '!H12</f>
        <v>1193</v>
      </c>
      <c r="J12" s="262">
        <f>'Balance Sheet '!I12</f>
        <v>1944</v>
      </c>
      <c r="K12" s="262">
        <f>'Balance Sheet '!J12</f>
        <v>2350</v>
      </c>
      <c r="L12" s="262">
        <f>'Balance Sheet '!K12</f>
        <v>2957</v>
      </c>
      <c r="M12" s="262">
        <f>'Balance Sheet '!L12</f>
        <v>2995</v>
      </c>
      <c r="N12" s="262">
        <f>'Balance Sheet '!M12</f>
        <v>2897</v>
      </c>
      <c r="O12" s="262">
        <f>'Balance Sheet '!N12</f>
        <v>2724</v>
      </c>
      <c r="P12" s="262">
        <f>'Balance Sheet '!O12</f>
        <v>2350</v>
      </c>
    </row>
    <row r="13" spans="1:16" ht="15.75">
      <c r="A13" s="99"/>
      <c r="C13" s="274" t="s">
        <v>27</v>
      </c>
      <c r="D13" s="254"/>
      <c r="E13" s="277"/>
      <c r="F13" s="262"/>
      <c r="G13" s="262">
        <f>'Balance Sheet '!F13</f>
        <v>1007</v>
      </c>
      <c r="H13" s="262">
        <f>'Balance Sheet '!G13</f>
        <v>1014</v>
      </c>
      <c r="I13" s="262">
        <f>'Balance Sheet '!H13</f>
        <v>1464</v>
      </c>
      <c r="J13" s="262">
        <f>'Balance Sheet '!I13</f>
        <v>2058</v>
      </c>
      <c r="K13" s="262">
        <f>'Balance Sheet '!J13</f>
        <v>2775</v>
      </c>
      <c r="L13" s="262">
        <f>'Balance Sheet '!K13</f>
        <v>3094</v>
      </c>
      <c r="M13" s="262">
        <f>'Balance Sheet '!L13</f>
        <v>3286</v>
      </c>
      <c r="N13" s="262">
        <f>'Balance Sheet '!M13</f>
        <v>3472</v>
      </c>
      <c r="O13" s="262">
        <f>'Balance Sheet '!N13</f>
        <v>3582</v>
      </c>
      <c r="P13" s="262">
        <f>'Balance Sheet '!O13</f>
        <v>3669</v>
      </c>
    </row>
    <row r="14" spans="1:16" ht="15.75">
      <c r="A14" s="99"/>
      <c r="C14" s="94" t="s">
        <v>552</v>
      </c>
      <c r="D14" s="254"/>
      <c r="E14" s="277"/>
      <c r="F14" s="262"/>
      <c r="G14" s="262">
        <f>'Balance Sheet '!F14</f>
        <v>964</v>
      </c>
      <c r="H14" s="262">
        <f>'Balance Sheet '!G14</f>
        <v>107</v>
      </c>
      <c r="I14" s="262">
        <f>'Balance Sheet '!H14</f>
        <v>126</v>
      </c>
      <c r="J14" s="262">
        <f>'Balance Sheet '!I14</f>
        <v>142</v>
      </c>
      <c r="K14" s="262">
        <f>'Balance Sheet '!J14</f>
        <v>237</v>
      </c>
      <c r="L14" s="262">
        <f>'Balance Sheet '!K14</f>
        <v>400</v>
      </c>
      <c r="M14" s="262">
        <f>'Balance Sheet '!L14</f>
        <v>450</v>
      </c>
      <c r="N14" s="262">
        <f>'Balance Sheet '!M14</f>
        <v>500</v>
      </c>
      <c r="O14" s="262">
        <f>'Balance Sheet '!N14</f>
        <v>550</v>
      </c>
      <c r="P14" s="262">
        <f>'Balance Sheet '!O14</f>
        <v>600</v>
      </c>
    </row>
    <row r="15" spans="1:16" s="80" customFormat="1" ht="16.5" thickBot="1">
      <c r="A15" s="272"/>
      <c r="C15" s="78" t="s">
        <v>553</v>
      </c>
      <c r="D15" s="78"/>
      <c r="E15" s="78"/>
      <c r="F15" s="77"/>
      <c r="G15" s="278">
        <f>SUM(G12:G14)</f>
        <v>2661</v>
      </c>
      <c r="H15" s="278">
        <f t="shared" ref="H15:P15" si="3">SUM(H12:H14)</f>
        <v>1778</v>
      </c>
      <c r="I15" s="278">
        <f t="shared" si="3"/>
        <v>2783</v>
      </c>
      <c r="J15" s="278">
        <f t="shared" si="3"/>
        <v>4144</v>
      </c>
      <c r="K15" s="278">
        <f t="shared" si="3"/>
        <v>5362</v>
      </c>
      <c r="L15" s="278">
        <f t="shared" si="3"/>
        <v>6451</v>
      </c>
      <c r="M15" s="278">
        <f t="shared" si="3"/>
        <v>6731</v>
      </c>
      <c r="N15" s="278">
        <f t="shared" si="3"/>
        <v>6869</v>
      </c>
      <c r="O15" s="278">
        <f t="shared" si="3"/>
        <v>6856</v>
      </c>
      <c r="P15" s="278">
        <f t="shared" si="3"/>
        <v>6619</v>
      </c>
    </row>
    <row r="16" spans="1:16" s="80" customFormat="1" ht="16.5" thickTop="1">
      <c r="A16" s="272"/>
      <c r="B16" s="80" t="s">
        <v>92</v>
      </c>
      <c r="C16" s="272"/>
      <c r="E16" s="100"/>
      <c r="G16" s="80">
        <f>G10-G15</f>
        <v>3015</v>
      </c>
      <c r="H16" s="80">
        <f t="shared" ref="H16:P16" si="4">H10-H15</f>
        <v>4301</v>
      </c>
      <c r="I16" s="80">
        <f t="shared" si="4"/>
        <v>4645</v>
      </c>
      <c r="J16" s="80">
        <f>J10-J15</f>
        <v>4674</v>
      </c>
      <c r="K16" s="80">
        <f t="shared" si="4"/>
        <v>4829</v>
      </c>
      <c r="L16" s="80">
        <f t="shared" si="4"/>
        <v>-396.21643835616487</v>
      </c>
      <c r="M16" s="80">
        <f t="shared" si="4"/>
        <v>257.65479452054751</v>
      </c>
      <c r="N16" s="80">
        <f t="shared" si="4"/>
        <v>10.610958904109793</v>
      </c>
      <c r="O16" s="80">
        <f t="shared" si="4"/>
        <v>-230.62739726027394</v>
      </c>
      <c r="P16" s="80">
        <f t="shared" si="4"/>
        <v>-17.898630136985958</v>
      </c>
    </row>
    <row r="17" spans="1:17" s="80" customFormat="1" ht="15.75">
      <c r="A17" s="272"/>
      <c r="C17" s="80" t="s">
        <v>555</v>
      </c>
      <c r="E17" s="279"/>
      <c r="H17" s="80">
        <f>G16-H16</f>
        <v>-1286</v>
      </c>
      <c r="I17" s="80">
        <f t="shared" ref="I17:P17" si="5">H16-I16</f>
        <v>-344</v>
      </c>
      <c r="J17" s="80">
        <f t="shared" si="5"/>
        <v>-29</v>
      </c>
      <c r="K17" s="80">
        <f t="shared" si="5"/>
        <v>-155</v>
      </c>
      <c r="L17" s="80">
        <f t="shared" si="5"/>
        <v>5225.2164383561649</v>
      </c>
      <c r="M17" s="80">
        <f t="shared" si="5"/>
        <v>-653.87123287671238</v>
      </c>
      <c r="N17" s="80">
        <f t="shared" si="5"/>
        <v>247.04383561643772</v>
      </c>
      <c r="O17" s="80">
        <f t="shared" si="5"/>
        <v>241.23835616438373</v>
      </c>
      <c r="P17" s="80">
        <f t="shared" si="5"/>
        <v>-212.72876712328798</v>
      </c>
    </row>
    <row r="18" spans="1:17" s="80" customFormat="1" ht="15.75">
      <c r="A18" s="272"/>
      <c r="C18" s="69" t="str">
        <f>'Assumptions '!A59</f>
        <v>current gold inventory value</v>
      </c>
      <c r="E18" s="279">
        <v>0.72</v>
      </c>
      <c r="G18" s="69">
        <f>G7*$E$18</f>
        <v>3818.16</v>
      </c>
      <c r="H18" s="69">
        <f t="shared" ref="H18:P18" si="6">H7*$E$18</f>
        <v>4171.68</v>
      </c>
      <c r="I18" s="69">
        <f t="shared" si="6"/>
        <v>5050.08</v>
      </c>
      <c r="J18" s="69">
        <f t="shared" si="6"/>
        <v>5974.5599999999995</v>
      </c>
      <c r="K18" s="69">
        <f t="shared" si="6"/>
        <v>6970.32</v>
      </c>
      <c r="L18" s="69">
        <f t="shared" si="6"/>
        <v>2957.04</v>
      </c>
      <c r="M18" s="69">
        <f t="shared" si="6"/>
        <v>3594.96</v>
      </c>
      <c r="N18" s="69">
        <f t="shared" si="6"/>
        <v>3476.8799999999997</v>
      </c>
      <c r="O18" s="69">
        <f t="shared" si="6"/>
        <v>3268.7999999999997</v>
      </c>
      <c r="P18" s="69">
        <f t="shared" si="6"/>
        <v>2849.7599999999998</v>
      </c>
    </row>
    <row r="19" spans="1:17" s="80" customFormat="1" ht="15.75">
      <c r="A19" s="272"/>
      <c r="C19" s="94" t="s">
        <v>556</v>
      </c>
      <c r="D19" s="94" t="s">
        <v>557</v>
      </c>
      <c r="E19" s="279"/>
      <c r="G19" s="280">
        <v>3198</v>
      </c>
      <c r="H19" s="280">
        <v>3339</v>
      </c>
      <c r="I19" s="280">
        <v>3501</v>
      </c>
      <c r="J19" s="280">
        <v>3317</v>
      </c>
      <c r="K19" s="280">
        <v>3293</v>
      </c>
      <c r="L19" s="80">
        <v>1290</v>
      </c>
      <c r="M19" s="80">
        <v>1290</v>
      </c>
      <c r="N19" s="80">
        <v>1290</v>
      </c>
      <c r="O19" s="80">
        <v>1290</v>
      </c>
      <c r="P19" s="80">
        <v>1290</v>
      </c>
    </row>
    <row r="20" spans="1:17" ht="15.75">
      <c r="A20" s="99"/>
      <c r="C20" s="281" t="s">
        <v>93</v>
      </c>
      <c r="D20" s="281"/>
      <c r="E20" s="282">
        <f>'Assumptions '!G60</f>
        <v>9.7000000000000003E-2</v>
      </c>
      <c r="F20" s="77"/>
      <c r="G20" s="283">
        <f>'Income Statement '!G20</f>
        <v>405</v>
      </c>
      <c r="H20" s="283">
        <f>'Income Statement '!H20</f>
        <v>360</v>
      </c>
      <c r="I20" s="283">
        <f>'Income Statement '!I20</f>
        <v>353</v>
      </c>
      <c r="J20" s="283">
        <f>'Income Statement '!J20</f>
        <v>379</v>
      </c>
      <c r="K20" s="283">
        <f>'Income Statement '!K20</f>
        <v>422</v>
      </c>
      <c r="L20" s="283">
        <f>'Income Statement '!L20</f>
        <v>380</v>
      </c>
      <c r="M20" s="283">
        <f>'Income Statement '!M20</f>
        <v>340</v>
      </c>
      <c r="N20" s="283">
        <f>'Income Statement '!N20</f>
        <v>300</v>
      </c>
      <c r="O20" s="283">
        <f>'Income Statement '!O20</f>
        <v>260</v>
      </c>
      <c r="P20" s="283">
        <f>'Income Statement '!P20</f>
        <v>220</v>
      </c>
    </row>
    <row r="21" spans="1:17" ht="15.75">
      <c r="A21" s="99"/>
      <c r="C21" s="254" t="s">
        <v>558</v>
      </c>
      <c r="D21" s="281"/>
      <c r="E21" s="282"/>
      <c r="F21" s="77"/>
      <c r="G21" s="275"/>
      <c r="H21" s="275"/>
      <c r="I21" s="275"/>
      <c r="J21" s="275"/>
      <c r="K21" s="275"/>
      <c r="L21" s="275"/>
      <c r="M21" s="275"/>
      <c r="N21" s="275"/>
      <c r="O21" s="275"/>
      <c r="P21" s="275"/>
    </row>
    <row r="22" spans="1:17" ht="15.75">
      <c r="A22" s="99"/>
      <c r="C22" s="94" t="s">
        <v>559</v>
      </c>
      <c r="D22" s="281"/>
      <c r="E22" s="282"/>
      <c r="F22" s="77"/>
      <c r="G22" s="283">
        <f>'Balance Sheet '!F24</f>
        <v>1097</v>
      </c>
      <c r="H22" s="283">
        <f>'Balance Sheet '!G24</f>
        <v>777</v>
      </c>
      <c r="I22" s="283">
        <f>'Balance Sheet '!H24</f>
        <v>982</v>
      </c>
      <c r="J22" s="283">
        <f>'Balance Sheet '!I24</f>
        <v>975</v>
      </c>
      <c r="K22" s="283">
        <f>'Balance Sheet '!J24</f>
        <v>6031</v>
      </c>
      <c r="L22" s="283">
        <f>'Balance Sheet '!K24</f>
        <v>16332</v>
      </c>
      <c r="M22" s="283">
        <f>'Balance Sheet '!L24</f>
        <v>24112</v>
      </c>
      <c r="N22" s="283">
        <f>'Balance Sheet '!M24</f>
        <v>36495</v>
      </c>
      <c r="O22" s="283">
        <f>'Balance Sheet '!N24</f>
        <v>51640</v>
      </c>
      <c r="P22" s="283">
        <f>'Balance Sheet '!O24</f>
        <v>70009</v>
      </c>
    </row>
    <row r="23" spans="1:17" ht="15.75">
      <c r="A23" s="99"/>
      <c r="C23" s="94" t="s">
        <v>560</v>
      </c>
      <c r="D23" s="281"/>
      <c r="E23" s="282"/>
      <c r="F23" s="77"/>
      <c r="G23" s="275"/>
      <c r="H23" s="283">
        <v>900</v>
      </c>
      <c r="I23" s="283">
        <v>900</v>
      </c>
      <c r="J23" s="283">
        <v>980</v>
      </c>
      <c r="K23" s="283">
        <v>3500</v>
      </c>
      <c r="L23" s="283">
        <v>11000</v>
      </c>
      <c r="M23" s="283">
        <v>20000</v>
      </c>
      <c r="N23" s="283">
        <v>30000</v>
      </c>
      <c r="O23" s="283">
        <v>44000</v>
      </c>
      <c r="P23" s="283">
        <v>61000</v>
      </c>
    </row>
    <row r="24" spans="1:17" s="80" customFormat="1" ht="15.75">
      <c r="A24" s="272"/>
      <c r="B24" s="254" t="s">
        <v>561</v>
      </c>
      <c r="C24" s="284"/>
      <c r="D24" s="284"/>
      <c r="E24" s="285"/>
      <c r="F24" s="282">
        <v>6.5000000000000002E-2</v>
      </c>
      <c r="G24" s="81"/>
      <c r="H24" s="79">
        <f>H23*$F$24</f>
        <v>58.5</v>
      </c>
      <c r="I24" s="79">
        <f t="shared" ref="I24:P24" si="7">I23*$F$24</f>
        <v>58.5</v>
      </c>
      <c r="J24" s="79">
        <f t="shared" si="7"/>
        <v>63.7</v>
      </c>
      <c r="K24" s="79">
        <f t="shared" si="7"/>
        <v>227.5</v>
      </c>
      <c r="L24" s="79">
        <f t="shared" si="7"/>
        <v>715</v>
      </c>
      <c r="M24" s="79">
        <f t="shared" si="7"/>
        <v>1300</v>
      </c>
      <c r="N24" s="79">
        <f t="shared" si="7"/>
        <v>1950</v>
      </c>
      <c r="O24" s="79">
        <f t="shared" si="7"/>
        <v>2860</v>
      </c>
      <c r="P24" s="79">
        <f t="shared" si="7"/>
        <v>3965</v>
      </c>
      <c r="Q24" s="67"/>
    </row>
    <row r="25" spans="1:17" ht="15.75">
      <c r="A25" s="80" t="s">
        <v>94</v>
      </c>
      <c r="H25" s="69">
        <f>'Income Statement '!G18</f>
        <v>45</v>
      </c>
      <c r="I25" s="69">
        <f>'Income Statement '!H18</f>
        <v>38</v>
      </c>
      <c r="J25" s="69">
        <f>'Income Statement '!I18</f>
        <v>72</v>
      </c>
      <c r="K25" s="69">
        <f>'Income Statement '!J18</f>
        <v>74</v>
      </c>
      <c r="L25" s="69">
        <f>'Income Statement '!K18</f>
        <v>144</v>
      </c>
      <c r="M25" s="69">
        <f>'Income Statement '!L18</f>
        <v>650</v>
      </c>
      <c r="N25" s="69">
        <f>'Income Statement '!M18</f>
        <v>1000</v>
      </c>
      <c r="O25" s="69">
        <f>'Income Statement '!N18</f>
        <v>1400</v>
      </c>
      <c r="P25" s="69">
        <f>'Income Statement '!O18</f>
        <v>1800</v>
      </c>
    </row>
    <row r="27" spans="1:17">
      <c r="A27" s="268"/>
      <c r="B27" s="268"/>
      <c r="C27" s="268"/>
      <c r="D27" s="268"/>
      <c r="E27" s="286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"/>
  <sheetViews>
    <sheetView showGridLines="0" workbookViewId="0">
      <selection activeCell="E25" sqref="E25"/>
    </sheetView>
  </sheetViews>
  <sheetFormatPr defaultColWidth="10.25" defaultRowHeight="15"/>
  <cols>
    <col min="1" max="2" width="3.25" style="232" customWidth="1"/>
    <col min="3" max="3" width="26.875" style="231" customWidth="1"/>
    <col min="4" max="4" width="7.875" style="232" bestFit="1" customWidth="1"/>
    <col min="5" max="5" width="5.375" style="233" customWidth="1"/>
    <col min="6" max="6" width="5.375" style="232" customWidth="1"/>
    <col min="7" max="16" width="10.375" style="232" bestFit="1" customWidth="1"/>
    <col min="17" max="16384" width="10.25" style="232"/>
  </cols>
  <sheetData>
    <row r="1" spans="1:17" s="219" customFormat="1" ht="15" customHeight="1">
      <c r="A1" s="218" t="s">
        <v>74</v>
      </c>
      <c r="D1" s="218"/>
      <c r="E1" s="220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</row>
    <row r="2" spans="1:17" s="219" customFormat="1" ht="15" customHeight="1">
      <c r="B2" s="219" t="s">
        <v>1</v>
      </c>
      <c r="C2" s="221"/>
      <c r="E2" s="222"/>
      <c r="F2" s="221"/>
      <c r="G2" s="223">
        <f>F2+1</f>
        <v>1</v>
      </c>
      <c r="H2" s="223">
        <f t="shared" ref="H2:P2" si="0">G2+1</f>
        <v>2</v>
      </c>
      <c r="I2" s="223">
        <f t="shared" si="0"/>
        <v>3</v>
      </c>
      <c r="J2" s="223">
        <f t="shared" si="0"/>
        <v>4</v>
      </c>
      <c r="K2" s="223">
        <f t="shared" si="0"/>
        <v>5</v>
      </c>
      <c r="L2" s="223">
        <f t="shared" si="0"/>
        <v>6</v>
      </c>
      <c r="M2" s="223">
        <f t="shared" si="0"/>
        <v>7</v>
      </c>
      <c r="N2" s="223">
        <f t="shared" si="0"/>
        <v>8</v>
      </c>
      <c r="O2" s="223">
        <f t="shared" si="0"/>
        <v>9</v>
      </c>
      <c r="P2" s="223">
        <f t="shared" si="0"/>
        <v>10</v>
      </c>
    </row>
    <row r="3" spans="1:17" s="219" customFormat="1" ht="15" customHeight="1">
      <c r="A3" s="224" t="s">
        <v>72</v>
      </c>
      <c r="B3" s="225"/>
      <c r="C3" s="226"/>
      <c r="D3" s="226"/>
      <c r="E3" s="227"/>
      <c r="F3" s="225"/>
      <c r="G3" s="228" t="s">
        <v>2</v>
      </c>
      <c r="H3" s="228" t="s">
        <v>3</v>
      </c>
      <c r="I3" s="228" t="s">
        <v>4</v>
      </c>
      <c r="J3" s="228" t="s">
        <v>5</v>
      </c>
      <c r="K3" s="228" t="s">
        <v>6</v>
      </c>
      <c r="L3" s="228" t="s">
        <v>8</v>
      </c>
      <c r="M3" s="228" t="s">
        <v>9</v>
      </c>
      <c r="N3" s="228" t="s">
        <v>10</v>
      </c>
      <c r="O3" s="228" t="s">
        <v>11</v>
      </c>
      <c r="P3" s="228" t="s">
        <v>12</v>
      </c>
    </row>
    <row r="4" spans="1:17" s="219" customFormat="1" ht="15.75">
      <c r="A4" s="218" t="s">
        <v>75</v>
      </c>
      <c r="E4" s="229"/>
      <c r="F4" s="230"/>
      <c r="L4" s="218"/>
      <c r="M4" s="218"/>
      <c r="N4" s="218"/>
      <c r="O4" s="218"/>
      <c r="P4" s="218"/>
      <c r="Q4" s="218"/>
    </row>
    <row r="5" spans="1:17">
      <c r="A5" s="231"/>
      <c r="B5" s="232" t="s">
        <v>76</v>
      </c>
      <c r="C5" s="232"/>
      <c r="G5" s="219">
        <f>'Income Statement '!G22</f>
        <v>839</v>
      </c>
      <c r="H5" s="219">
        <f>'Income Statement '!H22</f>
        <v>1122</v>
      </c>
      <c r="I5" s="219">
        <f>'Income Statement '!I22</f>
        <v>1704</v>
      </c>
      <c r="J5" s="219">
        <f>'Income Statement '!J22</f>
        <v>2044</v>
      </c>
      <c r="K5" s="219">
        <f>'Income Statement '!K22</f>
        <v>4353</v>
      </c>
      <c r="L5" s="234">
        <f>'Income Statement '!L22</f>
        <v>7246.4629999999997</v>
      </c>
      <c r="M5" s="234">
        <f>'Income Statement '!M22</f>
        <v>11029.394999999997</v>
      </c>
      <c r="N5" s="234">
        <f>'Income Statement '!N22</f>
        <v>15305.697</v>
      </c>
      <c r="O5" s="234">
        <f>'Income Statement '!O22</f>
        <v>19672.441999999999</v>
      </c>
      <c r="P5" s="234">
        <f>'Income Statement '!P22</f>
        <v>25257.035</v>
      </c>
    </row>
    <row r="6" spans="1:17">
      <c r="A6" s="231"/>
      <c r="B6" s="232" t="s">
        <v>77</v>
      </c>
      <c r="C6" s="232"/>
      <c r="G6" s="234">
        <f>'Income Statement '!G21</f>
        <v>225</v>
      </c>
      <c r="H6" s="234">
        <f>'Income Statement '!H21</f>
        <v>232</v>
      </c>
      <c r="I6" s="234">
        <f>'Income Statement '!I21</f>
        <v>245</v>
      </c>
      <c r="J6" s="234">
        <f>'Income Statement '!J21</f>
        <v>274</v>
      </c>
      <c r="K6" s="234">
        <f>'Income Statement '!K21</f>
        <v>343</v>
      </c>
      <c r="L6" s="234">
        <f>'Income Statement '!L21</f>
        <v>380</v>
      </c>
      <c r="M6" s="234">
        <f>'Income Statement '!M21</f>
        <v>400</v>
      </c>
      <c r="N6" s="234">
        <f>'Income Statement '!N21</f>
        <v>410</v>
      </c>
      <c r="O6" s="234">
        <f>'Income Statement '!O21</f>
        <v>410</v>
      </c>
      <c r="P6" s="234">
        <f>'Income Statement '!P21</f>
        <v>410</v>
      </c>
    </row>
    <row r="7" spans="1:17">
      <c r="A7" s="231"/>
      <c r="B7" s="232" t="s">
        <v>78</v>
      </c>
      <c r="C7" s="232"/>
      <c r="G7" s="234">
        <f>'Asset Schedule (Working)'!G180</f>
        <v>124.87949999999999</v>
      </c>
      <c r="H7" s="234">
        <f>'Asset Schedule (Working)'!H180</f>
        <v>138.19692499999999</v>
      </c>
      <c r="I7" s="234">
        <f>'Asset Schedule (Working)'!I180</f>
        <v>142.50235125</v>
      </c>
      <c r="J7" s="234">
        <f>'Asset Schedule (Working)'!J180</f>
        <v>146.75388706250001</v>
      </c>
      <c r="K7" s="234">
        <f>'Asset Schedule (Working)'!K180</f>
        <v>156.593085653125</v>
      </c>
      <c r="L7" s="234">
        <f>'Asset Schedule (Working)'!L180</f>
        <v>151.40281549015626</v>
      </c>
      <c r="M7" s="234">
        <f>'Asset Schedule (Working)'!M180</f>
        <v>144.0824401031328</v>
      </c>
      <c r="N7" s="234">
        <f>'Asset Schedule (Working)'!N180</f>
        <v>135.56485044251289</v>
      </c>
      <c r="O7" s="234">
        <f>'Asset Schedule (Working)'!O180</f>
        <v>121.62417435189629</v>
      </c>
      <c r="P7" s="234">
        <f>'Asset Schedule (Working)'!P180</f>
        <v>110.24036614987673</v>
      </c>
    </row>
    <row r="8" spans="1:17">
      <c r="A8" s="231"/>
      <c r="B8" s="232" t="s">
        <v>79</v>
      </c>
      <c r="C8" s="232"/>
      <c r="G8" s="234">
        <f>G5+G6-G7</f>
        <v>939.12049999999999</v>
      </c>
      <c r="H8" s="234">
        <f t="shared" ref="H8:P8" si="1">H5+H6-H7</f>
        <v>1215.803075</v>
      </c>
      <c r="I8" s="234">
        <f t="shared" si="1"/>
        <v>1806.4976487500001</v>
      </c>
      <c r="J8" s="234">
        <f t="shared" si="1"/>
        <v>2171.2461129375001</v>
      </c>
      <c r="K8" s="234">
        <f t="shared" si="1"/>
        <v>4539.4069143468751</v>
      </c>
      <c r="L8" s="234">
        <f t="shared" si="1"/>
        <v>7475.0601845098436</v>
      </c>
      <c r="M8" s="234">
        <f t="shared" si="1"/>
        <v>11285.312559896864</v>
      </c>
      <c r="N8" s="234">
        <f t="shared" si="1"/>
        <v>15580.132149557487</v>
      </c>
      <c r="O8" s="234">
        <f t="shared" si="1"/>
        <v>19960.817825648104</v>
      </c>
      <c r="P8" s="234">
        <f t="shared" si="1"/>
        <v>25556.794633850124</v>
      </c>
    </row>
    <row r="9" spans="1:17">
      <c r="A9" s="231"/>
      <c r="B9" s="232" t="s">
        <v>80</v>
      </c>
      <c r="C9" s="232"/>
      <c r="D9" s="235"/>
      <c r="G9" s="234">
        <f>G8*$D$10</f>
        <v>236.37662984999997</v>
      </c>
      <c r="H9" s="234">
        <f t="shared" ref="H9:P9" si="2">H8*$D$10</f>
        <v>306.0176339775</v>
      </c>
      <c r="I9" s="234">
        <f t="shared" si="2"/>
        <v>454.69545819037495</v>
      </c>
      <c r="J9" s="234">
        <f t="shared" si="2"/>
        <v>546.50264662636869</v>
      </c>
      <c r="K9" s="234">
        <f t="shared" si="2"/>
        <v>1142.5687203411082</v>
      </c>
      <c r="L9" s="234">
        <f t="shared" si="2"/>
        <v>1881.4726484411274</v>
      </c>
      <c r="M9" s="234">
        <f t="shared" si="2"/>
        <v>2840.5131713260403</v>
      </c>
      <c r="N9" s="234">
        <f t="shared" si="2"/>
        <v>3921.5192620436192</v>
      </c>
      <c r="O9" s="234">
        <f t="shared" si="2"/>
        <v>5024.1378467156273</v>
      </c>
      <c r="P9" s="234">
        <f t="shared" si="2"/>
        <v>6432.6452093400758</v>
      </c>
    </row>
    <row r="10" spans="1:17">
      <c r="A10" s="231"/>
      <c r="B10" s="236" t="s">
        <v>81</v>
      </c>
      <c r="C10" s="236"/>
      <c r="D10" s="237">
        <v>0.25169999999999998</v>
      </c>
      <c r="E10" s="238"/>
      <c r="F10" s="239"/>
      <c r="G10" s="240">
        <f>IF(G8&lt;=0,0,IF(G9&lt;=0,0,$D$10*MIN(G8,G9)))</f>
        <v>59.495997733244991</v>
      </c>
      <c r="H10" s="240">
        <f t="shared" ref="H10:P10" si="3">IF(H8&lt;=0,0,IF(H9&lt;=0,0,$D$10*MIN(H8,H9)))</f>
        <v>77.024638472136743</v>
      </c>
      <c r="I10" s="240">
        <f t="shared" si="3"/>
        <v>114.44684682651736</v>
      </c>
      <c r="J10" s="240">
        <f t="shared" si="3"/>
        <v>137.55471615585699</v>
      </c>
      <c r="K10" s="240">
        <f t="shared" si="3"/>
        <v>287.5845469098569</v>
      </c>
      <c r="L10" s="240">
        <f t="shared" si="3"/>
        <v>473.56666561263171</v>
      </c>
      <c r="M10" s="240">
        <f t="shared" si="3"/>
        <v>714.95716522276427</v>
      </c>
      <c r="N10" s="240">
        <f t="shared" si="3"/>
        <v>987.04639825637889</v>
      </c>
      <c r="O10" s="240">
        <f t="shared" si="3"/>
        <v>1264.5754960183233</v>
      </c>
      <c r="P10" s="240">
        <f t="shared" si="3"/>
        <v>1619.0967991908969</v>
      </c>
    </row>
    <row r="11" spans="1:17">
      <c r="A11" s="231"/>
      <c r="B11" s="232" t="s">
        <v>82</v>
      </c>
      <c r="C11" s="232"/>
      <c r="D11" s="241">
        <v>0.1575</v>
      </c>
      <c r="E11" s="242"/>
      <c r="F11" s="243"/>
      <c r="G11" s="234">
        <f>IF(G5&lt;0,0,$D$11*G5)</f>
        <v>132.14250000000001</v>
      </c>
      <c r="H11" s="234">
        <f t="shared" ref="H11:P11" si="4">IF(H5&lt;0,0,$D$11*H5)</f>
        <v>176.715</v>
      </c>
      <c r="I11" s="234">
        <f t="shared" si="4"/>
        <v>268.38</v>
      </c>
      <c r="J11" s="234">
        <f t="shared" si="4"/>
        <v>321.93</v>
      </c>
      <c r="K11" s="234">
        <f t="shared" si="4"/>
        <v>685.59749999999997</v>
      </c>
      <c r="L11" s="234">
        <f t="shared" si="4"/>
        <v>1141.3179224999999</v>
      </c>
      <c r="M11" s="234">
        <f t="shared" si="4"/>
        <v>1737.1297124999994</v>
      </c>
      <c r="N11" s="234">
        <f t="shared" si="4"/>
        <v>2410.6472775000002</v>
      </c>
      <c r="O11" s="234">
        <f t="shared" si="4"/>
        <v>3098.409615</v>
      </c>
      <c r="P11" s="234">
        <f t="shared" si="4"/>
        <v>3977.9830124999999</v>
      </c>
    </row>
    <row r="12" spans="1:17">
      <c r="A12" s="231"/>
      <c r="B12" s="232" t="s">
        <v>83</v>
      </c>
      <c r="C12" s="232"/>
      <c r="E12" s="244"/>
      <c r="F12" s="245"/>
      <c r="G12" s="234">
        <v>0</v>
      </c>
      <c r="H12" s="234">
        <v>0</v>
      </c>
      <c r="I12" s="234">
        <v>0</v>
      </c>
      <c r="J12" s="234">
        <v>0</v>
      </c>
      <c r="K12" s="234">
        <v>0</v>
      </c>
      <c r="L12" s="234">
        <v>0</v>
      </c>
      <c r="M12" s="234">
        <v>0</v>
      </c>
      <c r="N12" s="234">
        <v>0</v>
      </c>
      <c r="O12" s="234">
        <v>0</v>
      </c>
      <c r="P12" s="234">
        <v>0</v>
      </c>
    </row>
    <row r="13" spans="1:17" s="250" customFormat="1" ht="15.75">
      <c r="A13" s="246"/>
      <c r="B13" s="247" t="s">
        <v>84</v>
      </c>
      <c r="C13" s="247"/>
      <c r="D13" s="247"/>
      <c r="E13" s="248"/>
      <c r="F13" s="247"/>
      <c r="G13" s="249">
        <f>IF(G10&lt;G11,G11,IF(G10-G11,G11,G10-G11))</f>
        <v>132.14250000000001</v>
      </c>
      <c r="H13" s="249">
        <f t="shared" ref="H13:P13" si="5">IF(H10&lt;H11,H11,IF(H10-H11,H11,H10-H11))</f>
        <v>176.715</v>
      </c>
      <c r="I13" s="249">
        <f t="shared" si="5"/>
        <v>268.38</v>
      </c>
      <c r="J13" s="249">
        <f t="shared" si="5"/>
        <v>321.93</v>
      </c>
      <c r="K13" s="249">
        <f t="shared" si="5"/>
        <v>685.59749999999997</v>
      </c>
      <c r="L13" s="249">
        <f t="shared" si="5"/>
        <v>1141.3179224999999</v>
      </c>
      <c r="M13" s="249">
        <f t="shared" si="5"/>
        <v>1737.1297124999994</v>
      </c>
      <c r="N13" s="249">
        <f t="shared" si="5"/>
        <v>2410.6472775000002</v>
      </c>
      <c r="O13" s="249">
        <f t="shared" si="5"/>
        <v>3098.409615</v>
      </c>
      <c r="P13" s="249">
        <f t="shared" si="5"/>
        <v>3977.9830124999999</v>
      </c>
    </row>
    <row r="14" spans="1:17" s="219" customFormat="1" ht="15.75">
      <c r="A14" s="218" t="s">
        <v>85</v>
      </c>
      <c r="E14" s="229"/>
      <c r="F14" s="230"/>
      <c r="G14" s="218"/>
      <c r="H14" s="218"/>
      <c r="I14" s="218"/>
      <c r="J14" s="218"/>
      <c r="K14" s="251"/>
      <c r="L14" s="251"/>
      <c r="M14" s="251"/>
      <c r="N14" s="251"/>
      <c r="O14" s="251"/>
      <c r="P14" s="251"/>
      <c r="Q14" s="218"/>
    </row>
    <row r="15" spans="1:17">
      <c r="A15" s="231"/>
      <c r="B15" s="232" t="s">
        <v>62</v>
      </c>
      <c r="C15" s="232"/>
      <c r="G15" s="252"/>
      <c r="H15" s="234">
        <f t="shared" ref="H15" si="6">G17</f>
        <v>-25.200329849999999</v>
      </c>
      <c r="I15" s="234">
        <f t="shared" ref="I15" si="7">H17</f>
        <v>-48.810563827499998</v>
      </c>
      <c r="J15" s="234">
        <f t="shared" ref="J15" si="8">I17</f>
        <v>-74.609222017874998</v>
      </c>
      <c r="K15" s="234">
        <f t="shared" ref="K15" si="9">J17</f>
        <v>-106.63706864424374</v>
      </c>
      <c r="L15" s="234">
        <f t="shared" ref="L15" si="10">K17</f>
        <v>-153.55568898535216</v>
      </c>
      <c r="M15" s="234">
        <f t="shared" ref="M15" si="11">L17</f>
        <v>-143.55568898535216</v>
      </c>
      <c r="N15" s="234">
        <f t="shared" ref="N15" si="12">M17</f>
        <v>-135.55568898535216</v>
      </c>
      <c r="O15" s="234">
        <f t="shared" ref="O15" si="13">N17</f>
        <v>-128.55568898535216</v>
      </c>
      <c r="P15" s="234">
        <f t="shared" ref="P15" si="14">O17</f>
        <v>-124.55568898535216</v>
      </c>
    </row>
    <row r="16" spans="1:17">
      <c r="A16" s="231"/>
      <c r="B16" s="232" t="s">
        <v>86</v>
      </c>
      <c r="C16" s="232"/>
      <c r="G16" s="234">
        <f>(G7-G6)*$D$10</f>
        <v>-25.200329849999999</v>
      </c>
      <c r="H16" s="234">
        <f t="shared" ref="H16:K16" si="15">(H7-H6)*$D$10</f>
        <v>-23.610233977499998</v>
      </c>
      <c r="I16" s="234">
        <f t="shared" si="15"/>
        <v>-25.798658190374997</v>
      </c>
      <c r="J16" s="234">
        <f t="shared" si="15"/>
        <v>-32.027846626368742</v>
      </c>
      <c r="K16" s="234">
        <f t="shared" si="15"/>
        <v>-46.918620341108436</v>
      </c>
      <c r="L16" s="234">
        <v>10</v>
      </c>
      <c r="M16" s="234">
        <v>8</v>
      </c>
      <c r="N16" s="234">
        <v>7</v>
      </c>
      <c r="O16" s="234">
        <v>4</v>
      </c>
      <c r="P16" s="234">
        <v>2</v>
      </c>
    </row>
    <row r="17" spans="2:16" s="250" customFormat="1" ht="15.75">
      <c r="B17" s="247" t="s">
        <v>87</v>
      </c>
      <c r="C17" s="247"/>
      <c r="D17" s="247"/>
      <c r="E17" s="248"/>
      <c r="F17" s="247"/>
      <c r="G17" s="253">
        <f t="shared" ref="G17:P17" si="16">G15+G16</f>
        <v>-25.200329849999999</v>
      </c>
      <c r="H17" s="253">
        <f t="shared" si="16"/>
        <v>-48.810563827499998</v>
      </c>
      <c r="I17" s="253">
        <f t="shared" si="16"/>
        <v>-74.609222017874998</v>
      </c>
      <c r="J17" s="253">
        <f t="shared" si="16"/>
        <v>-106.63706864424374</v>
      </c>
      <c r="K17" s="253">
        <f t="shared" si="16"/>
        <v>-153.55568898535216</v>
      </c>
      <c r="L17" s="253">
        <f t="shared" si="16"/>
        <v>-143.55568898535216</v>
      </c>
      <c r="M17" s="253">
        <f t="shared" si="16"/>
        <v>-135.55568898535216</v>
      </c>
      <c r="N17" s="253">
        <f t="shared" si="16"/>
        <v>-128.55568898535216</v>
      </c>
      <c r="O17" s="253">
        <f t="shared" si="16"/>
        <v>-124.55568898535216</v>
      </c>
      <c r="P17" s="253">
        <f t="shared" si="16"/>
        <v>-122.55568898535216</v>
      </c>
    </row>
    <row r="18" spans="2:16" ht="15.75">
      <c r="B18" s="254" t="s">
        <v>550</v>
      </c>
      <c r="C18" s="247"/>
      <c r="D18" s="247"/>
      <c r="E18" s="248"/>
      <c r="F18" s="247"/>
      <c r="G18" s="255">
        <f>G9+G17</f>
        <v>211.17629999999997</v>
      </c>
      <c r="H18" s="255">
        <f t="shared" ref="H18:P18" si="17">H9+H17</f>
        <v>257.20707014999999</v>
      </c>
      <c r="I18" s="255">
        <f t="shared" si="17"/>
        <v>380.08623617249998</v>
      </c>
      <c r="J18" s="255">
        <f t="shared" si="17"/>
        <v>439.86557798212493</v>
      </c>
      <c r="K18" s="255">
        <f t="shared" si="17"/>
        <v>989.01303135575608</v>
      </c>
      <c r="L18" s="255">
        <f t="shared" si="17"/>
        <v>1737.9169594557752</v>
      </c>
      <c r="M18" s="255">
        <f t="shared" si="17"/>
        <v>2704.9574823406883</v>
      </c>
      <c r="N18" s="255">
        <f t="shared" si="17"/>
        <v>3792.9635730582668</v>
      </c>
      <c r="O18" s="255">
        <f t="shared" si="17"/>
        <v>4899.582157730275</v>
      </c>
      <c r="P18" s="255">
        <f t="shared" si="17"/>
        <v>6310.0895203547234</v>
      </c>
    </row>
    <row r="19" spans="2:16" ht="15.75">
      <c r="C19" s="254" t="s">
        <v>551</v>
      </c>
      <c r="G19" s="256">
        <v>0.252</v>
      </c>
      <c r="H19" s="256">
        <v>0.252</v>
      </c>
      <c r="I19" s="256">
        <v>0.252</v>
      </c>
      <c r="J19" s="256">
        <v>0.252</v>
      </c>
      <c r="K19" s="256">
        <v>0.252</v>
      </c>
      <c r="L19" s="256">
        <v>0.252</v>
      </c>
      <c r="M19" s="256">
        <v>0.252</v>
      </c>
      <c r="N19" s="256">
        <v>0.252</v>
      </c>
      <c r="O19" s="256">
        <v>0.252</v>
      </c>
      <c r="P19" s="256">
        <v>0.252</v>
      </c>
    </row>
    <row r="21" spans="2:16">
      <c r="B21" s="257"/>
      <c r="C21" s="258"/>
      <c r="D21" s="257"/>
      <c r="E21" s="259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"/>
  <sheetViews>
    <sheetView showGridLines="0" workbookViewId="0">
      <selection activeCell="I22" sqref="I22"/>
    </sheetView>
  </sheetViews>
  <sheetFormatPr defaultColWidth="8" defaultRowHeight="15.75"/>
  <cols>
    <col min="1" max="1" width="3.25" style="61" customWidth="1"/>
    <col min="2" max="2" width="3.875" style="61" customWidth="1"/>
    <col min="3" max="3" width="26.875" style="207" customWidth="1"/>
    <col min="4" max="4" width="5.875" style="61" customWidth="1"/>
    <col min="5" max="5" width="9.375" style="214" customWidth="1"/>
    <col min="6" max="6" width="6.75" style="61" customWidth="1"/>
    <col min="7" max="10" width="7.625" style="61" customWidth="1"/>
    <col min="11" max="16" width="10.25" style="61" customWidth="1"/>
    <col min="17" max="16384" width="8" style="61"/>
  </cols>
  <sheetData>
    <row r="1" spans="1:16" s="142" customFormat="1" ht="15" customHeight="1">
      <c r="A1" s="141" t="s">
        <v>95</v>
      </c>
      <c r="D1" s="141"/>
      <c r="E1" s="143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 s="142" customFormat="1" ht="15" customHeight="1">
      <c r="B2" s="142" t="s">
        <v>1</v>
      </c>
      <c r="C2" s="144"/>
      <c r="E2" s="145"/>
      <c r="F2" s="146"/>
      <c r="G2" s="147">
        <f>F2+1</f>
        <v>1</v>
      </c>
      <c r="H2" s="147">
        <f t="shared" ref="H2:P2" si="0">G2+1</f>
        <v>2</v>
      </c>
      <c r="I2" s="147">
        <f t="shared" si="0"/>
        <v>3</v>
      </c>
      <c r="J2" s="147">
        <f t="shared" si="0"/>
        <v>4</v>
      </c>
      <c r="K2" s="147">
        <f t="shared" si="0"/>
        <v>5</v>
      </c>
      <c r="L2" s="147">
        <f t="shared" si="0"/>
        <v>6</v>
      </c>
      <c r="M2" s="147">
        <f t="shared" si="0"/>
        <v>7</v>
      </c>
      <c r="N2" s="147">
        <f t="shared" si="0"/>
        <v>8</v>
      </c>
      <c r="O2" s="147">
        <f t="shared" si="0"/>
        <v>9</v>
      </c>
      <c r="P2" s="147">
        <f t="shared" si="0"/>
        <v>10</v>
      </c>
    </row>
    <row r="3" spans="1:16" s="142" customFormat="1" ht="15" customHeight="1">
      <c r="E3" s="158"/>
    </row>
    <row r="4" spans="1:16" s="148" customFormat="1" ht="15" customHeight="1">
      <c r="A4" s="202" t="s">
        <v>562</v>
      </c>
      <c r="B4" s="203"/>
      <c r="C4" s="204"/>
      <c r="D4" s="204"/>
      <c r="E4" s="205" t="s">
        <v>96</v>
      </c>
      <c r="F4" s="203"/>
      <c r="G4" s="206" t="s">
        <v>2</v>
      </c>
      <c r="H4" s="206" t="s">
        <v>3</v>
      </c>
      <c r="I4" s="206" t="s">
        <v>4</v>
      </c>
      <c r="J4" s="206" t="s">
        <v>5</v>
      </c>
      <c r="K4" s="206" t="s">
        <v>6</v>
      </c>
      <c r="L4" s="206" t="s">
        <v>8</v>
      </c>
      <c r="M4" s="206" t="s">
        <v>9</v>
      </c>
      <c r="N4" s="206" t="s">
        <v>10</v>
      </c>
      <c r="O4" s="206" t="s">
        <v>11</v>
      </c>
      <c r="P4" s="206" t="s">
        <v>12</v>
      </c>
    </row>
    <row r="5" spans="1:16">
      <c r="B5" s="142"/>
      <c r="E5" s="158"/>
      <c r="F5" s="193">
        <v>10.3</v>
      </c>
      <c r="G5" s="147"/>
      <c r="H5" s="147"/>
      <c r="I5" s="147"/>
      <c r="J5" s="147"/>
      <c r="K5" s="147"/>
      <c r="L5" s="147"/>
      <c r="M5" s="147"/>
      <c r="N5" s="147"/>
      <c r="O5" s="147"/>
      <c r="P5" s="147"/>
    </row>
    <row r="6" spans="1:16" s="142" customFormat="1">
      <c r="A6" s="156" t="s">
        <v>563</v>
      </c>
      <c r="E6" s="116"/>
      <c r="F6" s="141"/>
      <c r="G6" s="141"/>
      <c r="H6" s="141"/>
      <c r="I6" s="141"/>
      <c r="J6" s="141"/>
      <c r="K6" s="141"/>
      <c r="L6" s="141"/>
      <c r="M6" s="141"/>
      <c r="N6" s="141"/>
      <c r="O6" s="141"/>
    </row>
    <row r="7" spans="1:16">
      <c r="B7" s="142" t="s">
        <v>62</v>
      </c>
      <c r="E7" s="158" t="s">
        <v>236</v>
      </c>
      <c r="F7" s="208">
        <f>10.3</f>
        <v>10.3</v>
      </c>
      <c r="G7" s="208">
        <f t="shared" ref="G7:P7" si="1">10.3</f>
        <v>10.3</v>
      </c>
      <c r="H7" s="208">
        <f t="shared" si="1"/>
        <v>10.3</v>
      </c>
      <c r="I7" s="208">
        <f t="shared" si="1"/>
        <v>10.3</v>
      </c>
      <c r="J7" s="208">
        <f t="shared" si="1"/>
        <v>10.3</v>
      </c>
      <c r="K7" s="208">
        <f t="shared" si="1"/>
        <v>10.3</v>
      </c>
      <c r="L7" s="208">
        <f t="shared" si="1"/>
        <v>10.3</v>
      </c>
      <c r="M7" s="208">
        <f t="shared" si="1"/>
        <v>10.3</v>
      </c>
      <c r="N7" s="208">
        <f t="shared" si="1"/>
        <v>10.3</v>
      </c>
      <c r="O7" s="208">
        <f t="shared" si="1"/>
        <v>10.3</v>
      </c>
      <c r="P7" s="208">
        <f t="shared" si="1"/>
        <v>10.3</v>
      </c>
    </row>
    <row r="8" spans="1:16">
      <c r="B8" s="142" t="s">
        <v>97</v>
      </c>
      <c r="E8" s="158" t="s">
        <v>236</v>
      </c>
      <c r="F8" s="147">
        <v>0</v>
      </c>
      <c r="G8" s="147">
        <v>0</v>
      </c>
      <c r="H8" s="147">
        <v>0</v>
      </c>
      <c r="I8" s="147">
        <v>0</v>
      </c>
      <c r="J8" s="147">
        <v>0</v>
      </c>
      <c r="K8" s="147">
        <v>0</v>
      </c>
      <c r="L8" s="147">
        <v>0</v>
      </c>
      <c r="M8" s="147">
        <v>0</v>
      </c>
      <c r="N8" s="147">
        <v>0</v>
      </c>
      <c r="O8" s="147">
        <v>0</v>
      </c>
      <c r="P8" s="147">
        <v>0</v>
      </c>
    </row>
    <row r="9" spans="1:16">
      <c r="B9" s="142" t="s">
        <v>564</v>
      </c>
      <c r="E9" s="158"/>
      <c r="F9" s="208">
        <f>SUM(F7+F8)</f>
        <v>10.3</v>
      </c>
      <c r="G9" s="208">
        <f t="shared" ref="G9:P9" si="2">SUM(G7+G8)</f>
        <v>10.3</v>
      </c>
      <c r="H9" s="208">
        <f t="shared" si="2"/>
        <v>10.3</v>
      </c>
      <c r="I9" s="208">
        <f t="shared" si="2"/>
        <v>10.3</v>
      </c>
      <c r="J9" s="208">
        <f t="shared" si="2"/>
        <v>10.3</v>
      </c>
      <c r="K9" s="208">
        <f t="shared" si="2"/>
        <v>10.3</v>
      </c>
      <c r="L9" s="208">
        <f t="shared" si="2"/>
        <v>10.3</v>
      </c>
      <c r="M9" s="208">
        <f t="shared" si="2"/>
        <v>10.3</v>
      </c>
      <c r="N9" s="208">
        <f t="shared" si="2"/>
        <v>10.3</v>
      </c>
      <c r="O9" s="208">
        <f t="shared" si="2"/>
        <v>10.3</v>
      </c>
      <c r="P9" s="208">
        <f t="shared" si="2"/>
        <v>10.3</v>
      </c>
    </row>
    <row r="10" spans="1:16">
      <c r="B10" s="20" t="s">
        <v>565</v>
      </c>
      <c r="E10" s="158">
        <v>10</v>
      </c>
      <c r="F10" s="208">
        <f>F9*$E$10</f>
        <v>103</v>
      </c>
      <c r="G10" s="208">
        <f t="shared" ref="G10:P10" si="3">G9*$E$10</f>
        <v>103</v>
      </c>
      <c r="H10" s="208">
        <f t="shared" si="3"/>
        <v>103</v>
      </c>
      <c r="I10" s="208">
        <f t="shared" si="3"/>
        <v>103</v>
      </c>
      <c r="J10" s="208">
        <f t="shared" si="3"/>
        <v>103</v>
      </c>
      <c r="K10" s="208">
        <f t="shared" si="3"/>
        <v>103</v>
      </c>
      <c r="L10" s="208">
        <f t="shared" si="3"/>
        <v>103</v>
      </c>
      <c r="M10" s="208">
        <f t="shared" si="3"/>
        <v>103</v>
      </c>
      <c r="N10" s="208">
        <f t="shared" si="3"/>
        <v>103</v>
      </c>
      <c r="O10" s="208">
        <f t="shared" si="3"/>
        <v>103</v>
      </c>
      <c r="P10" s="208">
        <f t="shared" si="3"/>
        <v>103</v>
      </c>
    </row>
    <row r="11" spans="1:16" s="142" customFormat="1">
      <c r="A11" s="141" t="s">
        <v>98</v>
      </c>
      <c r="E11" s="116"/>
      <c r="F11" s="141"/>
      <c r="G11" s="141"/>
      <c r="H11" s="141"/>
      <c r="I11" s="141"/>
      <c r="J11" s="141"/>
      <c r="K11" s="141"/>
      <c r="L11" s="141"/>
      <c r="M11" s="141"/>
      <c r="N11" s="141"/>
      <c r="O11" s="141"/>
    </row>
    <row r="12" spans="1:16">
      <c r="B12" s="142"/>
      <c r="C12" s="20" t="s">
        <v>566</v>
      </c>
      <c r="E12" s="158"/>
      <c r="F12" s="20">
        <v>927</v>
      </c>
      <c r="G12" s="20">
        <v>927</v>
      </c>
      <c r="H12" s="20">
        <v>927</v>
      </c>
      <c r="I12" s="20">
        <v>927</v>
      </c>
      <c r="J12" s="20">
        <v>927</v>
      </c>
      <c r="K12" s="20">
        <v>927</v>
      </c>
      <c r="L12" s="20">
        <v>927</v>
      </c>
      <c r="M12" s="20">
        <v>927</v>
      </c>
      <c r="N12" s="20">
        <v>927</v>
      </c>
      <c r="O12" s="20">
        <v>927</v>
      </c>
      <c r="P12" s="20">
        <v>927</v>
      </c>
    </row>
    <row r="13" spans="1:16">
      <c r="B13" s="142"/>
      <c r="C13" s="20"/>
      <c r="E13" s="158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s="142" customFormat="1">
      <c r="A14" s="156" t="s">
        <v>567</v>
      </c>
      <c r="E14" s="116"/>
      <c r="F14" s="141"/>
      <c r="G14" s="141"/>
      <c r="H14" s="141"/>
      <c r="I14" s="141"/>
      <c r="J14" s="141"/>
      <c r="K14" s="141"/>
      <c r="L14" s="141"/>
      <c r="M14" s="141"/>
      <c r="N14" s="141"/>
      <c r="O14" s="141"/>
    </row>
    <row r="15" spans="1:16">
      <c r="B15" s="142" t="s">
        <v>62</v>
      </c>
      <c r="E15" s="158"/>
      <c r="F15" s="147"/>
      <c r="G15" s="20">
        <v>766</v>
      </c>
      <c r="H15" s="189">
        <v>1394</v>
      </c>
      <c r="I15" s="189">
        <v>2234</v>
      </c>
      <c r="J15" s="189">
        <v>3508</v>
      </c>
      <c r="K15" s="189">
        <v>5037</v>
      </c>
      <c r="L15" s="189">
        <v>8293</v>
      </c>
      <c r="M15" s="189">
        <v>13715</v>
      </c>
      <c r="N15" s="189">
        <v>21967</v>
      </c>
      <c r="O15" s="189">
        <v>32276</v>
      </c>
      <c r="P15" s="189">
        <v>43226</v>
      </c>
    </row>
    <row r="16" spans="1:16">
      <c r="B16" s="142" t="s">
        <v>99</v>
      </c>
      <c r="E16" s="158"/>
      <c r="F16" s="147"/>
      <c r="G16" s="147">
        <f>'Income Statement '!G25</f>
        <v>627.572</v>
      </c>
      <c r="H16" s="147">
        <f>'Income Statement '!H25</f>
        <v>839.25599999999997</v>
      </c>
      <c r="I16" s="147">
        <f>'Income Statement '!I25</f>
        <v>1274.5920000000001</v>
      </c>
      <c r="J16" s="147">
        <f>'Income Statement '!J25</f>
        <v>1528.912</v>
      </c>
      <c r="K16" s="147">
        <f>'Income Statement '!K25</f>
        <v>3256.0439999999999</v>
      </c>
      <c r="L16" s="147">
        <f>'Income Statement '!L25</f>
        <v>5420.3543239999999</v>
      </c>
      <c r="M16" s="147">
        <f>'Income Statement '!M25</f>
        <v>8249.9874599999966</v>
      </c>
      <c r="N16" s="147">
        <f>'Income Statement '!N25</f>
        <v>11448.661356000001</v>
      </c>
      <c r="O16" s="147">
        <f>'Income Statement '!O25</f>
        <v>14714.986615999998</v>
      </c>
      <c r="P16" s="147">
        <f>'Income Statement '!P25</f>
        <v>18892.262179999998</v>
      </c>
    </row>
    <row r="17" spans="2:17">
      <c r="B17" s="142" t="s">
        <v>100</v>
      </c>
      <c r="E17" s="209"/>
      <c r="F17" s="147"/>
      <c r="G17" s="147">
        <f>0+'Assumptions '!G76</f>
        <v>0</v>
      </c>
      <c r="H17" s="147">
        <f>0+'Assumptions '!H76</f>
        <v>0</v>
      </c>
      <c r="I17" s="147">
        <f>0+'Assumptions '!I76</f>
        <v>0</v>
      </c>
      <c r="J17" s="147">
        <f>0+'Assumptions '!J76</f>
        <v>0</v>
      </c>
      <c r="K17" s="147">
        <f>0+'Assumptions '!K76</f>
        <v>0</v>
      </c>
      <c r="L17" s="147">
        <f>0+'Assumptions '!L76</f>
        <v>0</v>
      </c>
      <c r="M17" s="147">
        <f>0+'Assumptions '!M76</f>
        <v>0</v>
      </c>
      <c r="N17" s="147">
        <f>N16*10%</f>
        <v>1144.8661356</v>
      </c>
      <c r="O17" s="147">
        <f>O16*25%</f>
        <v>3678.7466539999996</v>
      </c>
      <c r="P17" s="147">
        <f>P16*25%</f>
        <v>4723.0655449999995</v>
      </c>
    </row>
    <row r="18" spans="2:17">
      <c r="B18" s="142"/>
      <c r="C18" s="210"/>
      <c r="E18" s="209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</row>
    <row r="19" spans="2:17" s="213" customFormat="1">
      <c r="B19" s="166"/>
      <c r="C19" s="211" t="s">
        <v>568</v>
      </c>
      <c r="D19" s="212"/>
      <c r="E19" s="167"/>
      <c r="F19" s="176"/>
      <c r="G19" s="176">
        <f>G15+G16-G17</f>
        <v>1393.5720000000001</v>
      </c>
      <c r="H19" s="176">
        <f t="shared" ref="H19:P19" si="4">H15+H16-H17</f>
        <v>2233.2559999999999</v>
      </c>
      <c r="I19" s="176">
        <f t="shared" si="4"/>
        <v>3508.5920000000001</v>
      </c>
      <c r="J19" s="176">
        <f t="shared" si="4"/>
        <v>5036.9120000000003</v>
      </c>
      <c r="K19" s="176">
        <f t="shared" si="4"/>
        <v>8293.0439999999999</v>
      </c>
      <c r="L19" s="176">
        <f t="shared" si="4"/>
        <v>13713.354324</v>
      </c>
      <c r="M19" s="176">
        <f t="shared" si="4"/>
        <v>21964.987459999997</v>
      </c>
      <c r="N19" s="176">
        <f t="shared" si="4"/>
        <v>32270.795220399996</v>
      </c>
      <c r="O19" s="176">
        <f t="shared" si="4"/>
        <v>43312.239961999992</v>
      </c>
      <c r="P19" s="176">
        <f t="shared" si="4"/>
        <v>57395.196635</v>
      </c>
    </row>
    <row r="20" spans="2:17">
      <c r="C20" s="207" t="s">
        <v>569</v>
      </c>
      <c r="G20" s="213">
        <f>G19+G12</f>
        <v>2320.5720000000001</v>
      </c>
      <c r="H20" s="213">
        <f t="shared" ref="H20:P20" si="5">H19+H12</f>
        <v>3160.2559999999999</v>
      </c>
      <c r="I20" s="213">
        <f t="shared" si="5"/>
        <v>4435.5920000000006</v>
      </c>
      <c r="J20" s="213">
        <f t="shared" si="5"/>
        <v>5963.9120000000003</v>
      </c>
      <c r="K20" s="213">
        <f t="shared" si="5"/>
        <v>9220.0439999999999</v>
      </c>
      <c r="L20" s="213">
        <f t="shared" si="5"/>
        <v>14640.354324</v>
      </c>
      <c r="M20" s="213">
        <f t="shared" si="5"/>
        <v>22891.987459999997</v>
      </c>
      <c r="N20" s="213">
        <f t="shared" si="5"/>
        <v>33197.795220399996</v>
      </c>
      <c r="O20" s="213">
        <f t="shared" si="5"/>
        <v>44239.239961999992</v>
      </c>
      <c r="P20" s="213">
        <f t="shared" si="5"/>
        <v>58322.196635</v>
      </c>
    </row>
    <row r="22" spans="2:17">
      <c r="B22" s="215"/>
      <c r="C22" s="216"/>
      <c r="D22" s="215"/>
      <c r="E22" s="217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48"/>
  <sheetViews>
    <sheetView zoomScale="90" zoomScaleNormal="90" workbookViewId="0">
      <selection activeCell="I16" sqref="I16"/>
    </sheetView>
  </sheetViews>
  <sheetFormatPr defaultColWidth="8" defaultRowHeight="15.75"/>
  <cols>
    <col min="1" max="2" width="3.25" style="142" customWidth="1"/>
    <col min="3" max="3" width="31.25" style="144" customWidth="1"/>
    <col min="4" max="4" width="5.875" style="142" customWidth="1"/>
    <col min="5" max="5" width="12.75" style="158" customWidth="1"/>
    <col min="6" max="6" width="5.375" style="159" customWidth="1"/>
    <col min="7" max="12" width="10.25" style="142" customWidth="1"/>
    <col min="13" max="13" width="9" style="142" customWidth="1"/>
    <col min="14" max="14" width="9.375" style="142" customWidth="1"/>
    <col min="15" max="15" width="10.375" style="142" customWidth="1"/>
    <col min="16" max="16" width="8.375" style="142" bestFit="1" customWidth="1"/>
    <col min="17" max="16384" width="8" style="142"/>
  </cols>
  <sheetData>
    <row r="1" spans="1:16">
      <c r="A1" s="141" t="s">
        <v>101</v>
      </c>
      <c r="C1" s="142"/>
      <c r="D1" s="141"/>
      <c r="E1" s="143"/>
      <c r="F1" s="141"/>
      <c r="G1" s="141"/>
      <c r="H1" s="141"/>
      <c r="I1" s="141"/>
      <c r="J1" s="141"/>
      <c r="K1" s="141"/>
      <c r="L1" s="141"/>
    </row>
    <row r="2" spans="1:16">
      <c r="B2" s="142" t="s">
        <v>1</v>
      </c>
      <c r="E2" s="145"/>
      <c r="F2" s="146"/>
      <c r="G2" s="147">
        <f>F2+1</f>
        <v>1</v>
      </c>
      <c r="H2" s="147">
        <f t="shared" ref="H2:L2" si="0">G2+1</f>
        <v>2</v>
      </c>
      <c r="I2" s="147">
        <f t="shared" si="0"/>
        <v>3</v>
      </c>
      <c r="J2" s="147">
        <f t="shared" si="0"/>
        <v>4</v>
      </c>
      <c r="K2" s="147">
        <f t="shared" si="0"/>
        <v>5</v>
      </c>
      <c r="L2" s="147">
        <f t="shared" si="0"/>
        <v>6</v>
      </c>
      <c r="M2" s="142">
        <v>7</v>
      </c>
      <c r="N2" s="142">
        <v>8</v>
      </c>
      <c r="O2" s="142">
        <v>9</v>
      </c>
      <c r="P2" s="142">
        <v>10</v>
      </c>
    </row>
    <row r="3" spans="1:16" s="148" customFormat="1">
      <c r="E3" s="149"/>
    </row>
    <row r="4" spans="1:16">
      <c r="A4" s="150" t="s">
        <v>603</v>
      </c>
      <c r="B4" s="151"/>
      <c r="C4" s="152"/>
      <c r="D4" s="152"/>
      <c r="E4" s="153"/>
      <c r="F4" s="154"/>
      <c r="G4" s="127" t="s">
        <v>2</v>
      </c>
      <c r="H4" s="127" t="s">
        <v>3</v>
      </c>
      <c r="I4" s="127" t="s">
        <v>4</v>
      </c>
      <c r="J4" s="127" t="s">
        <v>5</v>
      </c>
      <c r="K4" s="127" t="s">
        <v>6</v>
      </c>
      <c r="L4" s="127" t="s">
        <v>8</v>
      </c>
      <c r="M4" s="127" t="s">
        <v>237</v>
      </c>
      <c r="N4" s="127" t="s">
        <v>238</v>
      </c>
      <c r="O4" s="127" t="s">
        <v>239</v>
      </c>
      <c r="P4" s="127" t="s">
        <v>240</v>
      </c>
    </row>
    <row r="5" spans="1:16">
      <c r="A5" s="141" t="s">
        <v>102</v>
      </c>
      <c r="E5" s="116"/>
      <c r="F5" s="155"/>
      <c r="G5" s="141"/>
      <c r="H5" s="141"/>
      <c r="I5" s="141"/>
      <c r="J5" s="141"/>
      <c r="K5" s="141"/>
      <c r="L5" s="141"/>
    </row>
    <row r="6" spans="1:16">
      <c r="A6" s="144"/>
      <c r="B6" s="156" t="s">
        <v>381</v>
      </c>
      <c r="C6" s="157"/>
      <c r="G6" s="142">
        <f>'Income Statement '!G22</f>
        <v>839</v>
      </c>
      <c r="H6" s="142">
        <f>'Income Statement '!H22</f>
        <v>1122</v>
      </c>
      <c r="I6" s="142">
        <f>'Income Statement '!I22</f>
        <v>1704</v>
      </c>
      <c r="J6" s="142">
        <f>'Income Statement '!J22</f>
        <v>2044</v>
      </c>
      <c r="K6" s="142">
        <f>'Income Statement '!K22</f>
        <v>4353</v>
      </c>
      <c r="L6" s="142">
        <f>'Income Statement '!L22</f>
        <v>7246.4629999999997</v>
      </c>
      <c r="M6" s="142">
        <f>'Income Statement '!M22</f>
        <v>11029.394999999997</v>
      </c>
      <c r="N6" s="142">
        <f>'Income Statement '!N22</f>
        <v>15305.697</v>
      </c>
      <c r="O6" s="142">
        <f>'Income Statement '!O22</f>
        <v>19672.441999999999</v>
      </c>
      <c r="P6" s="142">
        <f>'Income Statement '!P22</f>
        <v>25257.035</v>
      </c>
    </row>
    <row r="7" spans="1:16">
      <c r="A7" s="144"/>
      <c r="B7" s="142" t="s">
        <v>104</v>
      </c>
      <c r="G7" s="142">
        <f>'Tax Schedule'!G16</f>
        <v>-25.200329849999999</v>
      </c>
      <c r="H7" s="142">
        <f>'Tax Schedule'!H16</f>
        <v>-23.610233977499998</v>
      </c>
      <c r="I7" s="142">
        <f>'Tax Schedule'!I16</f>
        <v>-25.798658190374997</v>
      </c>
      <c r="J7" s="142">
        <f>'Tax Schedule'!J16</f>
        <v>-32.027846626368742</v>
      </c>
      <c r="K7" s="142">
        <f>'Tax Schedule'!K16</f>
        <v>-46.918620341108436</v>
      </c>
      <c r="L7" s="142">
        <f>'Tax Schedule'!L16</f>
        <v>10</v>
      </c>
      <c r="M7" s="142">
        <f>'Tax Schedule'!M16</f>
        <v>8</v>
      </c>
      <c r="N7" s="142">
        <f>'Tax Schedule'!N16</f>
        <v>7</v>
      </c>
      <c r="O7" s="142">
        <f>'Tax Schedule'!O16</f>
        <v>4</v>
      </c>
      <c r="P7" s="142">
        <f>'Tax Schedule'!P16</f>
        <v>2</v>
      </c>
    </row>
    <row r="8" spans="1:16">
      <c r="A8" s="144"/>
      <c r="B8" s="142" t="s">
        <v>105</v>
      </c>
      <c r="G8" s="142">
        <f>'Income Statement '!G21</f>
        <v>225</v>
      </c>
      <c r="H8" s="142">
        <f>'Income Statement '!H21</f>
        <v>232</v>
      </c>
      <c r="I8" s="142">
        <f>'Income Statement '!I21</f>
        <v>245</v>
      </c>
      <c r="J8" s="142">
        <f>'Income Statement '!J21</f>
        <v>274</v>
      </c>
      <c r="K8" s="142">
        <f>'Income Statement '!K21</f>
        <v>343</v>
      </c>
      <c r="L8" s="142">
        <f>'Income Statement '!L21</f>
        <v>380</v>
      </c>
      <c r="M8" s="142">
        <f>'Income Statement '!M21</f>
        <v>400</v>
      </c>
      <c r="N8" s="142">
        <f>'Income Statement '!N21</f>
        <v>410</v>
      </c>
      <c r="O8" s="142">
        <f>'Income Statement '!O21</f>
        <v>410</v>
      </c>
      <c r="P8" s="142">
        <f>'Income Statement '!P21</f>
        <v>410</v>
      </c>
    </row>
    <row r="9" spans="1:16">
      <c r="A9" s="144"/>
      <c r="B9" s="142" t="s">
        <v>106</v>
      </c>
      <c r="G9" s="142">
        <f>'Income Statement '!G20</f>
        <v>405</v>
      </c>
      <c r="H9" s="142">
        <f>'Income Statement '!H20</f>
        <v>360</v>
      </c>
      <c r="I9" s="142">
        <f>'Income Statement '!I20</f>
        <v>353</v>
      </c>
      <c r="J9" s="142">
        <f>'Income Statement '!J20</f>
        <v>379</v>
      </c>
      <c r="K9" s="142">
        <f>'Income Statement '!K20</f>
        <v>422</v>
      </c>
      <c r="L9" s="142">
        <f>'Income Statement '!L20</f>
        <v>380</v>
      </c>
      <c r="M9" s="142">
        <f>'Income Statement '!M20</f>
        <v>340</v>
      </c>
      <c r="N9" s="142">
        <f>'Income Statement '!N20</f>
        <v>300</v>
      </c>
      <c r="O9" s="142">
        <f>'Income Statement '!O20</f>
        <v>260</v>
      </c>
      <c r="P9" s="142">
        <f>'Income Statement '!P20</f>
        <v>220</v>
      </c>
    </row>
    <row r="10" spans="1:16">
      <c r="A10" s="144"/>
      <c r="B10" s="160" t="s">
        <v>107</v>
      </c>
      <c r="C10" s="156" t="s">
        <v>380</v>
      </c>
      <c r="G10" s="141">
        <f>SUM(G6:G9)</f>
        <v>1443.7996701500001</v>
      </c>
      <c r="H10" s="141">
        <f t="shared" ref="H10:P10" si="1">SUM(H6:H9)</f>
        <v>1690.3897660225</v>
      </c>
      <c r="I10" s="141">
        <f t="shared" si="1"/>
        <v>2276.2013418096249</v>
      </c>
      <c r="J10" s="141">
        <f t="shared" si="1"/>
        <v>2664.972153373631</v>
      </c>
      <c r="K10" s="141">
        <f t="shared" si="1"/>
        <v>5071.0813796588918</v>
      </c>
      <c r="L10" s="141">
        <f t="shared" si="1"/>
        <v>8016.4629999999997</v>
      </c>
      <c r="M10" s="141">
        <f t="shared" si="1"/>
        <v>11777.394999999997</v>
      </c>
      <c r="N10" s="141">
        <f t="shared" si="1"/>
        <v>16022.697</v>
      </c>
      <c r="O10" s="141">
        <f t="shared" si="1"/>
        <v>20346.441999999999</v>
      </c>
      <c r="P10" s="141">
        <f t="shared" si="1"/>
        <v>25889.035</v>
      </c>
    </row>
    <row r="11" spans="1:16">
      <c r="A11" s="144"/>
      <c r="B11" s="160"/>
      <c r="C11" s="156" t="s">
        <v>382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/>
    </row>
    <row r="12" spans="1:16">
      <c r="A12" s="144"/>
      <c r="C12" s="20" t="s">
        <v>570</v>
      </c>
      <c r="F12" s="161"/>
      <c r="G12" s="142">
        <f>'Balance Sheet '!F22-'Balance Sheet '!G22</f>
        <v>-491</v>
      </c>
      <c r="H12" s="142">
        <f>'Balance Sheet '!F22-'Balance Sheet '!G22</f>
        <v>-491</v>
      </c>
      <c r="I12" s="142">
        <f>'Balance Sheet '!G22-'Balance Sheet '!H22</f>
        <v>-1220</v>
      </c>
      <c r="J12" s="142">
        <f>'Balance Sheet '!H22-'Balance Sheet '!I22</f>
        <v>-1284</v>
      </c>
      <c r="K12" s="142">
        <f>'Balance Sheet '!I22-'Balance Sheet '!J22</f>
        <v>-1383</v>
      </c>
      <c r="L12" s="142">
        <f>'Balance Sheet '!J22-'Balance Sheet '!K22</f>
        <v>5574</v>
      </c>
      <c r="M12" s="142">
        <f>-('Balance Sheet '!K22-'Balance Sheet '!L22)</f>
        <v>886</v>
      </c>
      <c r="N12" s="142">
        <f>-('Balance Sheet '!L22-'Balance Sheet '!M22)</f>
        <v>-164</v>
      </c>
      <c r="O12" s="142">
        <f>-('Balance Sheet '!M22-'Balance Sheet '!N22)</f>
        <v>-289</v>
      </c>
      <c r="P12" s="142">
        <f>-('Balance Sheet '!N22-'Balance Sheet '!O22)</f>
        <v>-582</v>
      </c>
    </row>
    <row r="13" spans="1:16">
      <c r="A13" s="144"/>
      <c r="C13" s="20" t="s">
        <v>571</v>
      </c>
      <c r="G13" s="142">
        <f>-('Balance Sheet '!G23-'Balance Sheet '!F23)</f>
        <v>-6</v>
      </c>
      <c r="H13" s="142">
        <f>'Balance Sheet '!F23-'Balance Sheet '!G23</f>
        <v>-6</v>
      </c>
      <c r="I13" s="142">
        <f>'Balance Sheet '!G23-'Balance Sheet '!H23</f>
        <v>-125</v>
      </c>
      <c r="J13" s="142">
        <f>'Balance Sheet '!H23-'Balance Sheet '!I23</f>
        <v>-84</v>
      </c>
      <c r="K13" s="142">
        <f>'Balance Sheet '!I23-'Balance Sheet '!J23</f>
        <v>-72</v>
      </c>
      <c r="L13" s="142">
        <f>'Balance Sheet '!J23-'Balance Sheet '!K23</f>
        <v>-47.783561643835583</v>
      </c>
      <c r="M13" s="142">
        <f>'Balance Sheet '!K23-'Balance Sheet '!L23</f>
        <v>-47.871232876712384</v>
      </c>
      <c r="N13" s="142">
        <f>'Balance Sheet '!L23-'Balance Sheet '!M23</f>
        <v>-54.9561643835616</v>
      </c>
      <c r="O13" s="142">
        <f>'Balance Sheet '!M23-'Balance Sheet '!N23</f>
        <v>-34.761643835616496</v>
      </c>
      <c r="P13" s="142">
        <f>'Balance Sheet '!N23-'Balance Sheet '!O23</f>
        <v>-57.728767123287525</v>
      </c>
    </row>
    <row r="14" spans="1:16">
      <c r="A14" s="144"/>
      <c r="C14" s="20" t="s">
        <v>572</v>
      </c>
      <c r="G14" s="142">
        <f>-('Balance Sheet '!F25-'Balance Sheet '!G25)</f>
        <v>72</v>
      </c>
      <c r="H14" s="142">
        <f>-('Balance Sheet '!F25-'Balance Sheet '!G25)</f>
        <v>72</v>
      </c>
      <c r="I14" s="142">
        <f>'Balance Sheet '!G25-'Balance Sheet '!H25</f>
        <v>-63</v>
      </c>
      <c r="J14" s="142">
        <f>'Balance Sheet '!H25-'Balance Sheet '!I25</f>
        <v>-477</v>
      </c>
      <c r="K14" s="142">
        <f>'Balance Sheet '!I25-'Balance Sheet '!J25</f>
        <v>-88</v>
      </c>
      <c r="L14" s="142">
        <f>'Balance Sheet '!J25-'Balance Sheet '!K25</f>
        <v>85</v>
      </c>
      <c r="M14" s="142">
        <f>'Balance Sheet '!K25-'Balance Sheet '!L25</f>
        <v>0</v>
      </c>
      <c r="N14" s="142">
        <f>'Balance Sheet '!L25-'Balance Sheet '!M25</f>
        <v>0</v>
      </c>
      <c r="O14" s="142">
        <f>'Balance Sheet '!M25-'Balance Sheet '!N25</f>
        <v>0</v>
      </c>
      <c r="P14" s="142">
        <f>'Balance Sheet '!N25-'Balance Sheet '!O25</f>
        <v>-500</v>
      </c>
    </row>
    <row r="15" spans="1:16">
      <c r="A15" s="144"/>
      <c r="C15" s="20" t="s">
        <v>573</v>
      </c>
      <c r="F15" s="161"/>
      <c r="G15" s="142">
        <f>-('Balance Sheet '!F12-'Balance Sheet '!G12)</f>
        <v>-33</v>
      </c>
      <c r="H15" s="142">
        <f>-('Balance Sheet '!F12-'Balance Sheet '!G12)</f>
        <v>-33</v>
      </c>
      <c r="I15" s="142">
        <f>-('Balance Sheet '!G12-'Balance Sheet '!H12)</f>
        <v>536</v>
      </c>
      <c r="J15" s="142">
        <f>-('Balance Sheet '!H12-'Balance Sheet '!I12)</f>
        <v>751</v>
      </c>
      <c r="K15" s="142">
        <f>-('Balance Sheet '!I12-'Balance Sheet '!J12)</f>
        <v>406</v>
      </c>
      <c r="L15" s="142">
        <f>-('Balance Sheet '!J12-'Balance Sheet '!K12)</f>
        <v>607</v>
      </c>
      <c r="M15" s="142">
        <f>-('Balance Sheet '!K12-'Balance Sheet '!L12)</f>
        <v>38</v>
      </c>
      <c r="N15" s="142">
        <f>-('Balance Sheet '!L12-'Balance Sheet '!M12)</f>
        <v>-98</v>
      </c>
      <c r="O15" s="142">
        <f>-('Balance Sheet '!M12-'Balance Sheet '!N12)</f>
        <v>-173</v>
      </c>
      <c r="P15" s="142">
        <f>-('Balance Sheet '!N12-'Balance Sheet '!O12)</f>
        <v>-374</v>
      </c>
    </row>
    <row r="16" spans="1:16">
      <c r="A16" s="144"/>
      <c r="C16" s="20" t="s">
        <v>574</v>
      </c>
      <c r="F16" s="161"/>
      <c r="G16" s="142">
        <f>-('Balance Sheet '!F13-'Balance Sheet '!G13)</f>
        <v>7</v>
      </c>
      <c r="H16" s="147">
        <f>-('Balance Sheet '!F13-'Balance Sheet '!G13)</f>
        <v>7</v>
      </c>
      <c r="I16" s="147">
        <f>-('Balance Sheet '!G13-'Balance Sheet '!H13)</f>
        <v>450</v>
      </c>
      <c r="J16" s="147">
        <f>-('Balance Sheet '!H13-'Balance Sheet '!I13)</f>
        <v>594</v>
      </c>
      <c r="K16" s="147">
        <f>-('Balance Sheet '!I13-'Balance Sheet '!J13)</f>
        <v>717</v>
      </c>
      <c r="L16" s="147">
        <f>-('Balance Sheet '!J13-'Balance Sheet '!K13)</f>
        <v>319</v>
      </c>
      <c r="M16" s="147">
        <f>-('Balance Sheet '!K13-'Balance Sheet '!L13)</f>
        <v>192</v>
      </c>
      <c r="N16" s="147">
        <f>-('Balance Sheet '!L13-'Balance Sheet '!M13)</f>
        <v>186</v>
      </c>
      <c r="O16" s="147">
        <f>-('Balance Sheet '!M13-'Balance Sheet '!N13)</f>
        <v>110</v>
      </c>
      <c r="P16" s="147">
        <f>-('Balance Sheet '!N13-'Balance Sheet '!O13)</f>
        <v>87</v>
      </c>
    </row>
    <row r="17" spans="1:16">
      <c r="A17" s="144"/>
      <c r="C17" s="20" t="s">
        <v>575</v>
      </c>
      <c r="F17" s="161"/>
      <c r="G17" s="142">
        <f>-('Balance Sheet '!F14-'Balance Sheet '!G14)</f>
        <v>-857</v>
      </c>
      <c r="H17" s="142">
        <f>-('Balance Sheet '!G14-'Balance Sheet '!H14)</f>
        <v>19</v>
      </c>
      <c r="I17" s="142">
        <f>-('Balance Sheet '!H14-'Balance Sheet '!I14)</f>
        <v>16</v>
      </c>
      <c r="J17" s="142">
        <f>-('Balance Sheet '!I14-'Balance Sheet '!J14)</f>
        <v>95</v>
      </c>
      <c r="K17" s="142">
        <f>-('Balance Sheet '!J14-'Balance Sheet '!K14)</f>
        <v>163</v>
      </c>
      <c r="L17" s="142">
        <f>-('Balance Sheet '!K14-'Balance Sheet '!L14)</f>
        <v>50</v>
      </c>
      <c r="M17" s="142">
        <f>-('Balance Sheet '!L14-'Balance Sheet '!M14)</f>
        <v>50</v>
      </c>
      <c r="N17" s="142">
        <f>-('Balance Sheet '!M14-'Balance Sheet '!N14)</f>
        <v>50</v>
      </c>
      <c r="O17" s="142">
        <f>-('Balance Sheet '!N14-'Balance Sheet '!O14)</f>
        <v>50</v>
      </c>
      <c r="P17" s="142">
        <v>50</v>
      </c>
    </row>
    <row r="18" spans="1:16">
      <c r="A18" s="144"/>
      <c r="C18" s="162" t="s">
        <v>108</v>
      </c>
      <c r="D18" s="163"/>
      <c r="E18" s="164"/>
      <c r="F18" s="165"/>
      <c r="G18" s="166">
        <f>-(G12+G13+G14+G15+G16+G17)</f>
        <v>1308</v>
      </c>
      <c r="H18" s="166">
        <f t="shared" ref="H18:P18" si="2">H12+H13+H14+H15+H16+H17</f>
        <v>-432</v>
      </c>
      <c r="I18" s="166">
        <f t="shared" si="2"/>
        <v>-406</v>
      </c>
      <c r="J18" s="166">
        <v>595</v>
      </c>
      <c r="K18" s="166">
        <f t="shared" si="2"/>
        <v>-257</v>
      </c>
      <c r="L18" s="166">
        <f t="shared" si="2"/>
        <v>6587.2164383561649</v>
      </c>
      <c r="M18" s="166">
        <f>M12+M13+M15+M16+M17</f>
        <v>1118.1287671232876</v>
      </c>
      <c r="N18" s="166">
        <f t="shared" si="2"/>
        <v>-80.9561643835616</v>
      </c>
      <c r="O18" s="166">
        <f t="shared" si="2"/>
        <v>-336.7616438356165</v>
      </c>
      <c r="P18" s="167">
        <f t="shared" si="2"/>
        <v>-1376.7287671232875</v>
      </c>
    </row>
    <row r="19" spans="1:16">
      <c r="B19" s="168" t="s">
        <v>109</v>
      </c>
      <c r="C19" s="169"/>
      <c r="D19" s="170"/>
      <c r="E19" s="171"/>
      <c r="F19" s="172"/>
      <c r="G19" s="166">
        <f>G10-G18</f>
        <v>135.79967015000011</v>
      </c>
      <c r="H19" s="166">
        <f t="shared" ref="H19:P19" si="3">H10+H18</f>
        <v>1258.3897660225</v>
      </c>
      <c r="I19" s="166">
        <f t="shared" si="3"/>
        <v>1870.2013418096249</v>
      </c>
      <c r="J19" s="166">
        <f t="shared" si="3"/>
        <v>3259.972153373631</v>
      </c>
      <c r="K19" s="166">
        <f t="shared" si="3"/>
        <v>4814.0813796588918</v>
      </c>
      <c r="L19" s="166">
        <f t="shared" si="3"/>
        <v>14603.679438356165</v>
      </c>
      <c r="M19" s="166">
        <f t="shared" si="3"/>
        <v>12895.523767123284</v>
      </c>
      <c r="N19" s="166">
        <f t="shared" si="3"/>
        <v>15941.740835616438</v>
      </c>
      <c r="O19" s="166">
        <f t="shared" si="3"/>
        <v>20009.680356164383</v>
      </c>
      <c r="P19" s="166">
        <f t="shared" si="3"/>
        <v>24512.306232876712</v>
      </c>
    </row>
    <row r="20" spans="1:16">
      <c r="A20" s="141"/>
      <c r="C20" s="20" t="s">
        <v>576</v>
      </c>
      <c r="E20" s="116"/>
      <c r="F20" s="155"/>
      <c r="G20" s="173">
        <f>-('Tax Schedule'!G18)</f>
        <v>-211.17629999999997</v>
      </c>
      <c r="H20" s="173">
        <v>-282</v>
      </c>
      <c r="I20" s="173">
        <v>-429</v>
      </c>
      <c r="J20" s="173">
        <v>-515</v>
      </c>
      <c r="K20" s="173">
        <v>-1096</v>
      </c>
      <c r="L20" s="173">
        <v>-1892</v>
      </c>
      <c r="M20" s="173">
        <v>-2849</v>
      </c>
      <c r="N20" s="173">
        <v>-3929</v>
      </c>
      <c r="O20" s="173">
        <v>-5029</v>
      </c>
      <c r="P20" s="173">
        <v>-6435</v>
      </c>
    </row>
    <row r="21" spans="1:16">
      <c r="A21" s="141"/>
      <c r="B21" s="156" t="s">
        <v>383</v>
      </c>
      <c r="C21" s="171"/>
      <c r="D21" s="170"/>
      <c r="E21" s="174"/>
      <c r="F21" s="175"/>
      <c r="G21" s="176">
        <f>G19+G20</f>
        <v>-75.376629849999858</v>
      </c>
      <c r="H21" s="176">
        <f>H20+H19</f>
        <v>976.3897660225</v>
      </c>
      <c r="I21" s="176">
        <f t="shared" ref="I21:P21" si="4">I19+I20</f>
        <v>1441.2013418096249</v>
      </c>
      <c r="J21" s="176">
        <f t="shared" si="4"/>
        <v>2744.972153373631</v>
      </c>
      <c r="K21" s="176">
        <f t="shared" si="4"/>
        <v>3718.0813796588918</v>
      </c>
      <c r="L21" s="176">
        <f t="shared" si="4"/>
        <v>12711.679438356165</v>
      </c>
      <c r="M21" s="176">
        <f t="shared" si="4"/>
        <v>10046.523767123284</v>
      </c>
      <c r="N21" s="176">
        <f t="shared" si="4"/>
        <v>12012.740835616438</v>
      </c>
      <c r="O21" s="176">
        <f t="shared" si="4"/>
        <v>14980.680356164383</v>
      </c>
      <c r="P21" s="177">
        <f t="shared" si="4"/>
        <v>18077.306232876712</v>
      </c>
    </row>
    <row r="22" spans="1:16">
      <c r="A22" s="20"/>
      <c r="B22" s="156" t="s">
        <v>384</v>
      </c>
      <c r="C22" s="157"/>
      <c r="E22" s="116"/>
      <c r="F22" s="155"/>
      <c r="G22" s="173"/>
      <c r="H22" s="173"/>
      <c r="I22" s="173"/>
      <c r="J22" s="173"/>
      <c r="K22" s="173"/>
      <c r="L22" s="173"/>
      <c r="M22" s="173"/>
      <c r="N22" s="173"/>
      <c r="O22" s="173"/>
      <c r="P22" s="173"/>
    </row>
    <row r="23" spans="1:16" s="141" customFormat="1">
      <c r="A23" s="157"/>
      <c r="B23" s="178" t="s">
        <v>110</v>
      </c>
      <c r="E23" s="143"/>
      <c r="F23" s="155"/>
      <c r="G23" s="179">
        <v>-225</v>
      </c>
      <c r="H23" s="179">
        <v>-305</v>
      </c>
      <c r="I23" s="156">
        <v>-204</v>
      </c>
      <c r="J23" s="156">
        <v>-201</v>
      </c>
      <c r="K23" s="156">
        <v>-263</v>
      </c>
      <c r="L23" s="156">
        <v>-124</v>
      </c>
      <c r="M23" s="156">
        <v>-98</v>
      </c>
      <c r="N23" s="156">
        <v>-78</v>
      </c>
      <c r="O23" s="156">
        <v>-43</v>
      </c>
      <c r="P23" s="156">
        <v>-50</v>
      </c>
    </row>
    <row r="24" spans="1:16">
      <c r="A24" s="144"/>
      <c r="C24" s="20" t="s">
        <v>385</v>
      </c>
      <c r="G24" s="147">
        <v>0</v>
      </c>
      <c r="H24" s="147">
        <v>0</v>
      </c>
      <c r="I24" s="147">
        <v>0</v>
      </c>
      <c r="J24" s="147">
        <v>0</v>
      </c>
      <c r="K24" s="147">
        <v>0</v>
      </c>
      <c r="L24" s="147">
        <v>0</v>
      </c>
      <c r="M24" s="147">
        <v>0</v>
      </c>
      <c r="N24" s="147">
        <v>0</v>
      </c>
      <c r="O24" s="147">
        <v>0</v>
      </c>
      <c r="P24" s="147">
        <v>0</v>
      </c>
    </row>
    <row r="25" spans="1:16">
      <c r="A25" s="144"/>
      <c r="B25" s="142" t="s">
        <v>111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  <row r="26" spans="1:16">
      <c r="B26" s="180" t="s">
        <v>577</v>
      </c>
      <c r="C26" s="169"/>
      <c r="D26" s="170"/>
      <c r="E26" s="171"/>
      <c r="F26" s="172"/>
      <c r="G26" s="176">
        <f>SUM(G23+G24)</f>
        <v>-225</v>
      </c>
      <c r="H26" s="176">
        <f t="shared" ref="H26:J26" si="5">SUM(H23+H24)</f>
        <v>-305</v>
      </c>
      <c r="I26" s="176">
        <f>I23-I25</f>
        <v>-204</v>
      </c>
      <c r="J26" s="176">
        <f t="shared" si="5"/>
        <v>-201</v>
      </c>
      <c r="K26" s="176">
        <f>K23-K25</f>
        <v>-263</v>
      </c>
      <c r="L26" s="176">
        <f>L23-L25</f>
        <v>-124</v>
      </c>
      <c r="M26" s="181">
        <f>M23</f>
        <v>-98</v>
      </c>
      <c r="N26" s="181">
        <f t="shared" ref="N26:P26" si="6">N23</f>
        <v>-78</v>
      </c>
      <c r="O26" s="181">
        <f t="shared" si="6"/>
        <v>-43</v>
      </c>
      <c r="P26" s="181">
        <f t="shared" si="6"/>
        <v>-50</v>
      </c>
    </row>
    <row r="27" spans="1:16">
      <c r="A27" s="141" t="s">
        <v>578</v>
      </c>
      <c r="E27" s="116"/>
      <c r="F27" s="155"/>
      <c r="G27" s="173"/>
      <c r="H27" s="173"/>
      <c r="I27" s="173"/>
      <c r="J27" s="173"/>
      <c r="K27" s="173"/>
      <c r="L27" s="173"/>
    </row>
    <row r="28" spans="1:16">
      <c r="A28" s="144"/>
      <c r="B28" s="142" t="s">
        <v>113</v>
      </c>
      <c r="G28" s="147">
        <f>-'Income Statement '!G20</f>
        <v>-405</v>
      </c>
      <c r="H28" s="147">
        <f>-'Income Statement '!H20</f>
        <v>-360</v>
      </c>
      <c r="I28" s="147">
        <f>-'Income Statement '!I20</f>
        <v>-353</v>
      </c>
      <c r="J28" s="147">
        <f>-'Income Statement '!J20</f>
        <v>-379</v>
      </c>
      <c r="K28" s="147">
        <f>-'Income Statement '!K20</f>
        <v>-422</v>
      </c>
      <c r="L28" s="147">
        <f>-'Income Statement '!L20</f>
        <v>-380</v>
      </c>
      <c r="M28" s="147">
        <f>-'Income Statement '!M20</f>
        <v>-340</v>
      </c>
      <c r="N28" s="147">
        <f>-'Income Statement '!N20</f>
        <v>-300</v>
      </c>
      <c r="O28" s="147">
        <f>-'Income Statement '!O20</f>
        <v>-260</v>
      </c>
      <c r="P28" s="147">
        <f>-'Income Statement '!P20</f>
        <v>-220</v>
      </c>
    </row>
    <row r="29" spans="1:16">
      <c r="A29" s="144"/>
      <c r="B29" s="142" t="s">
        <v>114</v>
      </c>
      <c r="C29" s="20" t="s">
        <v>579</v>
      </c>
      <c r="G29" s="147">
        <v>-602</v>
      </c>
      <c r="H29" s="147">
        <v>141</v>
      </c>
      <c r="I29" s="147">
        <v>162</v>
      </c>
      <c r="J29" s="147">
        <v>-184</v>
      </c>
      <c r="K29" s="147">
        <v>-24</v>
      </c>
      <c r="L29" s="147">
        <v>-2003</v>
      </c>
      <c r="M29" s="147">
        <v>0</v>
      </c>
      <c r="N29" s="147">
        <v>0</v>
      </c>
      <c r="O29" s="147">
        <v>0</v>
      </c>
      <c r="P29" s="147">
        <v>0</v>
      </c>
    </row>
    <row r="30" spans="1:16">
      <c r="A30" s="144"/>
      <c r="B30" s="182" t="s">
        <v>115</v>
      </c>
      <c r="C30" s="20" t="s">
        <v>580</v>
      </c>
      <c r="F30" s="146"/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  <c r="N30" s="142">
        <v>-1145</v>
      </c>
      <c r="O30" s="142">
        <v>-3771</v>
      </c>
      <c r="P30" s="142">
        <v>-4725</v>
      </c>
    </row>
    <row r="31" spans="1:16">
      <c r="B31" s="180" t="s">
        <v>112</v>
      </c>
      <c r="C31" s="169"/>
      <c r="D31" s="170"/>
      <c r="E31" s="171"/>
      <c r="F31" s="172"/>
      <c r="G31" s="176">
        <f>SUM(G28:G30)</f>
        <v>-1007</v>
      </c>
      <c r="H31" s="176">
        <f t="shared" ref="H31:P31" si="7">SUM(H28:H30)</f>
        <v>-219</v>
      </c>
      <c r="I31" s="176">
        <f t="shared" si="7"/>
        <v>-191</v>
      </c>
      <c r="J31" s="176">
        <f t="shared" si="7"/>
        <v>-563</v>
      </c>
      <c r="K31" s="176">
        <f t="shared" si="7"/>
        <v>-446</v>
      </c>
      <c r="L31" s="176">
        <f t="shared" si="7"/>
        <v>-2383</v>
      </c>
      <c r="M31" s="176">
        <f t="shared" si="7"/>
        <v>-340</v>
      </c>
      <c r="N31" s="176">
        <f t="shared" si="7"/>
        <v>-1445</v>
      </c>
      <c r="O31" s="176">
        <f t="shared" si="7"/>
        <v>-4031</v>
      </c>
      <c r="P31" s="176">
        <f t="shared" si="7"/>
        <v>-4945</v>
      </c>
    </row>
    <row r="32" spans="1:16" ht="16.5" thickBot="1">
      <c r="B32" s="183" t="s">
        <v>116</v>
      </c>
      <c r="C32" s="184"/>
      <c r="D32" s="185"/>
      <c r="E32" s="186"/>
      <c r="F32" s="187"/>
      <c r="G32" s="188">
        <f>-(G21+G26+G31)</f>
        <v>1307.37662985</v>
      </c>
      <c r="H32" s="188">
        <f t="shared" ref="H32:P32" si="8">H21+H26+H31</f>
        <v>452.3897660225</v>
      </c>
      <c r="I32" s="188">
        <f t="shared" si="8"/>
        <v>1046.2013418096249</v>
      </c>
      <c r="J32" s="188">
        <f t="shared" si="8"/>
        <v>1980.972153373631</v>
      </c>
      <c r="K32" s="188">
        <f t="shared" si="8"/>
        <v>3009.0813796588918</v>
      </c>
      <c r="L32" s="188">
        <f t="shared" si="8"/>
        <v>10204.679438356165</v>
      </c>
      <c r="M32" s="188">
        <f t="shared" si="8"/>
        <v>9608.5237671232844</v>
      </c>
      <c r="N32" s="188">
        <f t="shared" si="8"/>
        <v>10489.740835616438</v>
      </c>
      <c r="O32" s="188">
        <f t="shared" si="8"/>
        <v>10906.680356164383</v>
      </c>
      <c r="P32" s="188">
        <f t="shared" si="8"/>
        <v>13082.306232876712</v>
      </c>
    </row>
    <row r="33" spans="1:18" ht="16.5" thickTop="1">
      <c r="A33" s="141" t="s">
        <v>117</v>
      </c>
      <c r="E33" s="116"/>
      <c r="F33" s="155"/>
      <c r="G33" s="173"/>
      <c r="H33" s="173"/>
      <c r="I33" s="173"/>
      <c r="J33" s="173"/>
      <c r="K33" s="173"/>
      <c r="L33" s="173"/>
    </row>
    <row r="34" spans="1:18">
      <c r="A34" s="144"/>
      <c r="B34" s="142" t="s">
        <v>62</v>
      </c>
      <c r="G34" s="189">
        <f>G32+G35</f>
        <v>2404.37662985</v>
      </c>
      <c r="H34" s="189">
        <f>'Balance Sheet '!F24</f>
        <v>1097</v>
      </c>
      <c r="I34" s="189">
        <f>'Balance Sheet '!G24</f>
        <v>777</v>
      </c>
      <c r="J34" s="189">
        <f>'Balance Sheet '!H24</f>
        <v>982</v>
      </c>
      <c r="K34" s="189">
        <f>'Balance Sheet '!I24</f>
        <v>975</v>
      </c>
      <c r="L34" s="189">
        <f>'Balance Sheet '!J24</f>
        <v>6031</v>
      </c>
      <c r="M34" s="189">
        <f>'Balance Sheet '!K24</f>
        <v>16332</v>
      </c>
      <c r="N34" s="189">
        <f>'Balance Sheet '!L24</f>
        <v>24112</v>
      </c>
      <c r="O34" s="189">
        <f>'Balance Sheet '!M24</f>
        <v>36495</v>
      </c>
      <c r="P34" s="189">
        <f>'Balance Sheet '!N24</f>
        <v>51640</v>
      </c>
    </row>
    <row r="35" spans="1:18">
      <c r="A35" s="144"/>
      <c r="B35" s="142" t="s">
        <v>118</v>
      </c>
      <c r="G35" s="189">
        <v>1097</v>
      </c>
      <c r="H35" s="147">
        <f>I34</f>
        <v>777</v>
      </c>
      <c r="I35" s="147">
        <f>J34</f>
        <v>982</v>
      </c>
      <c r="J35" s="147">
        <f t="shared" ref="J35:O35" si="9">K34</f>
        <v>975</v>
      </c>
      <c r="K35" s="147">
        <f t="shared" si="9"/>
        <v>6031</v>
      </c>
      <c r="L35" s="147">
        <f t="shared" si="9"/>
        <v>16332</v>
      </c>
      <c r="M35" s="147">
        <f t="shared" si="9"/>
        <v>24112</v>
      </c>
      <c r="N35" s="147">
        <f t="shared" si="9"/>
        <v>36495</v>
      </c>
      <c r="O35" s="147">
        <f t="shared" si="9"/>
        <v>51640</v>
      </c>
      <c r="P35" s="147">
        <v>70009</v>
      </c>
    </row>
    <row r="36" spans="1:18" ht="16.5" thickBot="1">
      <c r="B36" s="185" t="s">
        <v>65</v>
      </c>
      <c r="C36" s="184"/>
      <c r="D36" s="185"/>
      <c r="E36" s="186"/>
      <c r="F36" s="187"/>
      <c r="G36" s="187">
        <f>G35</f>
        <v>1097</v>
      </c>
      <c r="H36" s="188">
        <f>SUM(H34+H35)</f>
        <v>1874</v>
      </c>
      <c r="I36" s="188">
        <f t="shared" ref="I36:P36" si="10">I34+I35</f>
        <v>1759</v>
      </c>
      <c r="J36" s="188">
        <f t="shared" si="10"/>
        <v>1957</v>
      </c>
      <c r="K36" s="188">
        <f t="shared" si="10"/>
        <v>7006</v>
      </c>
      <c r="L36" s="188">
        <f t="shared" si="10"/>
        <v>22363</v>
      </c>
      <c r="M36" s="188">
        <f t="shared" si="10"/>
        <v>40444</v>
      </c>
      <c r="N36" s="188">
        <f t="shared" si="10"/>
        <v>60607</v>
      </c>
      <c r="O36" s="188">
        <f t="shared" si="10"/>
        <v>88135</v>
      </c>
      <c r="P36" s="188">
        <f t="shared" si="10"/>
        <v>121649</v>
      </c>
    </row>
    <row r="37" spans="1:18" ht="16.5" thickTop="1">
      <c r="A37" s="141" t="s">
        <v>119</v>
      </c>
      <c r="E37" s="116"/>
      <c r="F37" s="155"/>
      <c r="G37" s="173"/>
      <c r="H37" s="173"/>
      <c r="I37" s="173"/>
      <c r="J37" s="173"/>
      <c r="K37" s="173"/>
      <c r="L37" s="173"/>
    </row>
    <row r="38" spans="1:18" ht="21.75" customHeight="1">
      <c r="A38" s="144"/>
      <c r="C38" s="20" t="s">
        <v>581</v>
      </c>
      <c r="G38" s="147"/>
      <c r="H38" s="147"/>
      <c r="I38" s="147"/>
      <c r="J38" s="147"/>
      <c r="K38" s="147"/>
      <c r="L38" s="147">
        <f>L32</f>
        <v>10204.679438356165</v>
      </c>
      <c r="M38" s="147">
        <f t="shared" ref="M38:P38" si="11">M32</f>
        <v>9608.5237671232844</v>
      </c>
      <c r="N38" s="147">
        <f t="shared" si="11"/>
        <v>10489.740835616438</v>
      </c>
      <c r="O38" s="147">
        <f t="shared" si="11"/>
        <v>10906.680356164383</v>
      </c>
      <c r="P38" s="147">
        <f t="shared" si="11"/>
        <v>13082.306232876712</v>
      </c>
    </row>
    <row r="39" spans="1:18">
      <c r="A39" s="144"/>
      <c r="C39" s="142" t="s">
        <v>120</v>
      </c>
      <c r="G39" s="147"/>
      <c r="H39" s="147"/>
      <c r="I39" s="147"/>
      <c r="J39" s="147"/>
      <c r="K39" s="147"/>
      <c r="L39" s="147">
        <f>K35</f>
        <v>6031</v>
      </c>
      <c r="M39" s="147">
        <f t="shared" ref="M39:P39" si="12">L35</f>
        <v>16332</v>
      </c>
      <c r="N39" s="147">
        <f t="shared" si="12"/>
        <v>24112</v>
      </c>
      <c r="O39" s="147">
        <f t="shared" si="12"/>
        <v>36495</v>
      </c>
      <c r="P39" s="147">
        <f t="shared" si="12"/>
        <v>51640</v>
      </c>
    </row>
    <row r="40" spans="1:18" s="141" customFormat="1" ht="47.25">
      <c r="A40" s="157"/>
      <c r="C40" s="190" t="s">
        <v>121</v>
      </c>
      <c r="D40" s="166"/>
      <c r="E40" s="167"/>
      <c r="F40" s="175"/>
      <c r="G40" s="176"/>
      <c r="H40" s="176"/>
      <c r="I40" s="176"/>
      <c r="J40" s="176"/>
      <c r="K40" s="176"/>
      <c r="L40" s="176">
        <f t="shared" ref="L40:O40" si="13">M39</f>
        <v>16332</v>
      </c>
      <c r="M40" s="176">
        <f t="shared" si="13"/>
        <v>24112</v>
      </c>
      <c r="N40" s="176">
        <f t="shared" si="13"/>
        <v>36495</v>
      </c>
      <c r="O40" s="176">
        <f t="shared" si="13"/>
        <v>51640</v>
      </c>
      <c r="P40" s="176">
        <f>P35</f>
        <v>70009</v>
      </c>
      <c r="Q40" s="191"/>
    </row>
    <row r="41" spans="1:18" ht="47.25">
      <c r="A41" s="144"/>
      <c r="C41" s="192" t="s">
        <v>122</v>
      </c>
      <c r="F41" s="193">
        <v>3</v>
      </c>
      <c r="G41" s="147"/>
      <c r="H41" s="147"/>
      <c r="I41" s="147"/>
      <c r="J41" s="147"/>
      <c r="K41" s="147"/>
      <c r="L41" s="147">
        <v>1200</v>
      </c>
      <c r="M41" s="147">
        <v>1300</v>
      </c>
      <c r="N41" s="147">
        <v>1400</v>
      </c>
      <c r="O41" s="147">
        <v>1450</v>
      </c>
      <c r="P41" s="147">
        <v>1500</v>
      </c>
      <c r="Q41" s="147"/>
    </row>
    <row r="42" spans="1:18">
      <c r="A42" s="144"/>
      <c r="C42" s="192"/>
      <c r="D42" s="194" t="s">
        <v>123</v>
      </c>
      <c r="F42" s="193"/>
      <c r="G42" s="147"/>
      <c r="H42" s="147"/>
      <c r="I42" s="147"/>
      <c r="J42" s="147"/>
      <c r="K42" s="147"/>
      <c r="L42" s="195" t="str">
        <f>IF(L40&gt;= L41, "TRUE", "FALSE")</f>
        <v>TRUE</v>
      </c>
      <c r="M42" s="195" t="str">
        <f t="shared" ref="M42:P42" si="14">IF(M40&gt;= M41, "TRUE", "FALSE")</f>
        <v>TRUE</v>
      </c>
      <c r="N42" s="195" t="str">
        <f t="shared" si="14"/>
        <v>TRUE</v>
      </c>
      <c r="O42" s="195" t="str">
        <f t="shared" si="14"/>
        <v>TRUE</v>
      </c>
      <c r="P42" s="195" t="str">
        <f t="shared" si="14"/>
        <v>TRUE</v>
      </c>
    </row>
    <row r="43" spans="1:18">
      <c r="A43" s="144"/>
      <c r="C43" s="142" t="s">
        <v>124</v>
      </c>
      <c r="F43" s="146"/>
      <c r="G43" s="147"/>
      <c r="H43" s="147"/>
      <c r="I43" s="147"/>
      <c r="J43" s="147"/>
      <c r="K43" s="147"/>
      <c r="L43" s="147">
        <f>L40-L41</f>
        <v>15132</v>
      </c>
      <c r="M43" s="147">
        <f t="shared" ref="M43:P43" si="15">M40-M41</f>
        <v>22812</v>
      </c>
      <c r="N43" s="147">
        <f t="shared" si="15"/>
        <v>35095</v>
      </c>
      <c r="O43" s="147">
        <f t="shared" si="15"/>
        <v>50190</v>
      </c>
      <c r="P43" s="147">
        <f t="shared" si="15"/>
        <v>68509</v>
      </c>
    </row>
    <row r="44" spans="1:18">
      <c r="A44" s="144"/>
      <c r="C44" s="142" t="s">
        <v>125</v>
      </c>
      <c r="F44" s="193"/>
      <c r="G44" s="147"/>
      <c r="H44" s="147"/>
      <c r="I44" s="147"/>
      <c r="J44" s="147"/>
      <c r="K44" s="147"/>
      <c r="L44" s="20">
        <f>IF(L40 &lt; L41, L41 - L40, 0)</f>
        <v>0</v>
      </c>
      <c r="M44" s="20">
        <f t="shared" ref="M44:P44" si="16">IF(M40 &lt; M41, M41 - M40, 0)</f>
        <v>0</v>
      </c>
      <c r="N44" s="20">
        <f t="shared" si="16"/>
        <v>0</v>
      </c>
      <c r="O44" s="20">
        <f t="shared" si="16"/>
        <v>0</v>
      </c>
      <c r="P44" s="20">
        <f t="shared" si="16"/>
        <v>0</v>
      </c>
    </row>
    <row r="45" spans="1:18">
      <c r="A45" s="144"/>
      <c r="C45" s="182" t="s">
        <v>126</v>
      </c>
      <c r="F45" s="193"/>
      <c r="H45" s="147"/>
      <c r="I45" s="147"/>
      <c r="J45" s="147"/>
      <c r="K45" s="147"/>
      <c r="L45" s="196">
        <f>MAX(0,L41 - L40)</f>
        <v>0</v>
      </c>
      <c r="M45" s="196">
        <f t="shared" ref="M45:P45" si="17">MAX(0,M41 - M40)</f>
        <v>0</v>
      </c>
      <c r="N45" s="196">
        <f t="shared" si="17"/>
        <v>0</v>
      </c>
      <c r="O45" s="196">
        <f t="shared" si="17"/>
        <v>0</v>
      </c>
      <c r="P45" s="196">
        <f t="shared" si="17"/>
        <v>0</v>
      </c>
    </row>
    <row r="46" spans="1:18">
      <c r="A46" s="144"/>
      <c r="C46" s="197" t="s">
        <v>127</v>
      </c>
      <c r="D46" s="170"/>
      <c r="E46" s="171"/>
      <c r="F46" s="198"/>
      <c r="G46" s="170"/>
      <c r="H46" s="191"/>
      <c r="I46" s="191"/>
      <c r="J46" s="191"/>
      <c r="K46" s="191"/>
      <c r="L46" s="191"/>
      <c r="M46" s="191"/>
      <c r="N46" s="191"/>
      <c r="O46" s="191"/>
      <c r="P46" s="191"/>
      <c r="Q46" s="191"/>
    </row>
    <row r="47" spans="1:18">
      <c r="B47" s="144"/>
    </row>
    <row r="48" spans="1:18">
      <c r="A48" s="152"/>
      <c r="B48" s="152"/>
      <c r="C48" s="199"/>
      <c r="D48" s="152"/>
      <c r="E48" s="200"/>
      <c r="F48" s="201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33"/>
  <sheetViews>
    <sheetView showGridLines="0" topLeftCell="A7" workbookViewId="0">
      <selection activeCell="G10" sqref="G10"/>
    </sheetView>
  </sheetViews>
  <sheetFormatPr defaultColWidth="10.25" defaultRowHeight="15.75"/>
  <cols>
    <col min="1" max="2" width="3.25" style="57" customWidth="1"/>
    <col min="3" max="3" width="29.375" style="117" customWidth="1"/>
    <col min="4" max="4" width="5.875" style="57" customWidth="1"/>
    <col min="5" max="5" width="5.375" style="57" customWidth="1"/>
    <col min="6" max="6" width="5.375" style="128" customWidth="1"/>
    <col min="7" max="7" width="12.625" style="57" bestFit="1" customWidth="1"/>
    <col min="8" max="16384" width="10.25" style="57"/>
  </cols>
  <sheetData>
    <row r="1" spans="1:17">
      <c r="A1" s="115" t="s">
        <v>244</v>
      </c>
      <c r="C1" s="57"/>
      <c r="D1" s="58"/>
      <c r="E1" s="58"/>
      <c r="F1" s="116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7" ht="15.75" customHeight="1">
      <c r="B2" s="57" t="s">
        <v>1</v>
      </c>
      <c r="E2" s="117"/>
      <c r="F2" s="118"/>
      <c r="G2" s="119">
        <f>F2+1</f>
        <v>1</v>
      </c>
      <c r="H2" s="119">
        <f t="shared" ref="H2:P2" si="0">G2+1</f>
        <v>2</v>
      </c>
      <c r="I2" s="119">
        <f t="shared" si="0"/>
        <v>3</v>
      </c>
      <c r="J2" s="119">
        <f t="shared" si="0"/>
        <v>4</v>
      </c>
      <c r="K2" s="119">
        <f t="shared" si="0"/>
        <v>5</v>
      </c>
      <c r="L2" s="119">
        <f t="shared" si="0"/>
        <v>6</v>
      </c>
      <c r="M2" s="119">
        <f t="shared" si="0"/>
        <v>7</v>
      </c>
      <c r="N2" s="119">
        <f t="shared" si="0"/>
        <v>8</v>
      </c>
      <c r="O2" s="119">
        <f t="shared" si="0"/>
        <v>9</v>
      </c>
      <c r="P2" s="119">
        <f t="shared" si="0"/>
        <v>10</v>
      </c>
    </row>
    <row r="3" spans="1:17" ht="17.25" customHeight="1">
      <c r="A3" s="120"/>
      <c r="B3" s="120"/>
      <c r="C3" s="121"/>
      <c r="D3" s="120"/>
      <c r="E3" s="120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</row>
    <row r="4" spans="1:17">
      <c r="A4" s="123" t="s">
        <v>245</v>
      </c>
      <c r="B4" s="124"/>
      <c r="C4" s="125"/>
      <c r="D4" s="125"/>
      <c r="E4" s="124"/>
      <c r="F4" s="126"/>
      <c r="G4" s="127" t="s">
        <v>2</v>
      </c>
      <c r="H4" s="127" t="s">
        <v>3</v>
      </c>
      <c r="I4" s="127" t="s">
        <v>4</v>
      </c>
      <c r="J4" s="127" t="s">
        <v>5</v>
      </c>
      <c r="K4" s="127" t="s">
        <v>6</v>
      </c>
      <c r="L4" s="127" t="s">
        <v>8</v>
      </c>
      <c r="M4" s="127" t="s">
        <v>237</v>
      </c>
      <c r="N4" s="127" t="s">
        <v>238</v>
      </c>
      <c r="O4" s="127" t="s">
        <v>239</v>
      </c>
      <c r="P4" s="127" t="s">
        <v>240</v>
      </c>
      <c r="Q4" s="125"/>
    </row>
    <row r="5" spans="1:17">
      <c r="A5" s="58" t="s">
        <v>246</v>
      </c>
      <c r="C5" s="57"/>
      <c r="E5" s="58"/>
      <c r="F5" s="116"/>
      <c r="G5" s="58"/>
      <c r="H5" s="58"/>
      <c r="I5" s="58"/>
      <c r="J5" s="58"/>
      <c r="K5" s="58"/>
      <c r="L5" s="58"/>
      <c r="M5" s="58"/>
      <c r="N5" s="58"/>
      <c r="O5" s="58"/>
    </row>
    <row r="6" spans="1:17">
      <c r="A6" s="117"/>
      <c r="B6" s="57" t="s">
        <v>247</v>
      </c>
      <c r="C6" s="57"/>
      <c r="G6" s="63">
        <f>'Income Statement '!G16/'Income Statement '!G5</f>
        <v>0.16610288113845795</v>
      </c>
      <c r="H6" s="63">
        <f>'Income Statement '!H16/'Income Statement '!H5</f>
        <v>0.15492697356258089</v>
      </c>
      <c r="I6" s="63">
        <f>'Income Statement '!I16/'Income Statement '!I5</f>
        <v>0.15848198422286974</v>
      </c>
      <c r="J6" s="63">
        <f>'Income Statement '!J16/'Income Statement '!J5</f>
        <v>0.14141686435195169</v>
      </c>
      <c r="K6" s="63">
        <f>'Income Statement '!K16/'Income Statement '!K5</f>
        <v>0.19860251547215013</v>
      </c>
      <c r="L6" s="63">
        <f>'Income Statement '!L16/'Income Statement '!L5</f>
        <v>0.26150734065621556</v>
      </c>
      <c r="M6" s="63">
        <f>'Income Statement '!M16/'Income Statement '!M5</f>
        <v>0.3440151732950007</v>
      </c>
      <c r="N6" s="63">
        <f>'Income Statement '!N16/'Income Statement '!N5</f>
        <v>0.42099539130685254</v>
      </c>
      <c r="O6" s="63">
        <f>'Income Statement '!O16/'Income Statement '!O5</f>
        <v>0.49192025256008909</v>
      </c>
      <c r="P6" s="63">
        <f>'Income Statement '!P16/'Income Statement '!P5</f>
        <v>0.5810915536147977</v>
      </c>
    </row>
    <row r="7" spans="1:17">
      <c r="A7" s="117"/>
      <c r="B7" s="57" t="s">
        <v>248</v>
      </c>
      <c r="C7" s="57"/>
      <c r="G7" s="63">
        <f>'Income Statement '!G19/'Income Statement '!G5</f>
        <v>0.17135191881488393</v>
      </c>
      <c r="H7" s="63">
        <f>'Income Statement '!H19/'Income Statement '!H5</f>
        <v>0.15843963764096874</v>
      </c>
      <c r="I7" s="63">
        <f>'Income Statement '!I19/'Income Statement '!I5</f>
        <v>0.16359889133679198</v>
      </c>
      <c r="J7" s="63">
        <f>'Income Statement '!J19/'Income Statement '!J5</f>
        <v>0.14540651283157213</v>
      </c>
      <c r="K7" s="63">
        <f>'Income Statement '!K19/'Income Statement '!K5</f>
        <v>0.20435216610101817</v>
      </c>
      <c r="L7" s="63">
        <f>'Income Statement '!L19/'Income Statement '!L5</f>
        <v>0.28461352244854432</v>
      </c>
      <c r="M7" s="63">
        <f>'Income Statement '!M19/'Income Statement '!M5</f>
        <v>0.37595895224405035</v>
      </c>
      <c r="N7" s="63">
        <f>'Income Statement '!N19/'Income Statement '!N5</f>
        <v>0.46132145634703459</v>
      </c>
      <c r="O7" s="63">
        <f>'Income Statement '!O19/'Income Statement '!O5</f>
        <v>0.53967321059054485</v>
      </c>
      <c r="P7" s="63">
        <f>'Income Statement '!P19/'Income Statement '!P5</f>
        <v>0.63506206608934568</v>
      </c>
    </row>
    <row r="8" spans="1:17">
      <c r="A8" s="117"/>
      <c r="B8" s="57" t="s">
        <v>249</v>
      </c>
      <c r="C8" s="57"/>
      <c r="G8" s="63">
        <f>'Income Statement '!G22/'Income Statement '!G5</f>
        <v>9.7865391344920102E-2</v>
      </c>
      <c r="H8" s="63">
        <f>'Income Statement '!H22/'Income Statement '!H5</f>
        <v>0.10371602884082086</v>
      </c>
      <c r="I8" s="63">
        <f>'Income Statement '!I22/'Income Statement '!I5</f>
        <v>0.12110013502949328</v>
      </c>
      <c r="J8" s="63">
        <f>'Income Statement '!J22/'Income Statement '!J5</f>
        <v>0.11020056070735389</v>
      </c>
      <c r="K8" s="63">
        <f>'Income Statement '!K22/'Income Statement '!K5</f>
        <v>0.17380714713515671</v>
      </c>
      <c r="L8" s="63">
        <f>'Income Statement '!L22/'Income Statement '!L5</f>
        <v>0.25759706373751379</v>
      </c>
      <c r="M8" s="63">
        <f>'Income Statement '!M22/'Income Statement '!M5</f>
        <v>0.35232055582175359</v>
      </c>
      <c r="N8" s="63">
        <f>'Income Statement '!N22/'Income Statement '!N5</f>
        <v>0.44087038050522798</v>
      </c>
      <c r="O8" s="63">
        <f>'Income Statement '!O22/'Income Statement '!O5</f>
        <v>0.5218984984347641</v>
      </c>
      <c r="P8" s="63">
        <f>'Income Statement '!P22/'Income Statement '!P5</f>
        <v>0.61960687388072522</v>
      </c>
    </row>
    <row r="9" spans="1:17">
      <c r="A9" s="117"/>
      <c r="B9" s="57" t="s">
        <v>250</v>
      </c>
      <c r="C9" s="57"/>
      <c r="G9" s="63">
        <f>'Income Statement '!G25/'Income Statement '!G5</f>
        <v>7.3203312726000239E-2</v>
      </c>
      <c r="H9" s="63">
        <f>'Income Statement '!H25/'Income Statement '!H5</f>
        <v>7.7579589572933996E-2</v>
      </c>
      <c r="I9" s="63">
        <f>'Income Statement '!I25/'Income Statement '!I5</f>
        <v>9.0582901002060984E-2</v>
      </c>
      <c r="J9" s="63">
        <f>'Income Statement '!J25/'Income Statement '!J5</f>
        <v>8.2430019409100719E-2</v>
      </c>
      <c r="K9" s="63">
        <f>'Income Statement '!K25/'Income Statement '!K5</f>
        <v>0.13000774605709722</v>
      </c>
      <c r="L9" s="63">
        <f>'Income Statement '!L25/'Income Statement '!L5</f>
        <v>0.19268260367566031</v>
      </c>
      <c r="M9" s="63">
        <f>'Income Statement '!M25/'Income Statement '!M5</f>
        <v>0.26353577575467169</v>
      </c>
      <c r="N9" s="63">
        <f>'Income Statement '!N25/'Income Statement '!N5</f>
        <v>0.32977104461791057</v>
      </c>
      <c r="O9" s="63">
        <f>'Income Statement '!O25/'Income Statement '!O5</f>
        <v>0.39038007682920356</v>
      </c>
      <c r="P9" s="63">
        <f>'Income Statement '!P25/'Income Statement '!P5</f>
        <v>0.46346594166278238</v>
      </c>
    </row>
    <row r="10" spans="1:17">
      <c r="A10" s="117"/>
      <c r="B10" s="57" t="s">
        <v>270</v>
      </c>
      <c r="C10" s="57"/>
      <c r="G10" s="63">
        <f>'Revenue-Built-up'!G9/'Income Statement '!G5</f>
        <v>0.12</v>
      </c>
      <c r="H10" s="63">
        <f>'Revenue-Built-up'!H9/'Income Statement '!H5</f>
        <v>0.11999999999999998</v>
      </c>
      <c r="I10" s="63">
        <f>'Revenue-Built-up'!I9/'Income Statement '!I5</f>
        <v>0.12</v>
      </c>
      <c r="J10" s="63">
        <f>'Revenue-Built-up'!J9/'Income Statement '!J5</f>
        <v>0.11999999999999998</v>
      </c>
      <c r="K10" s="63">
        <f>'Revenue-Built-up'!K9/'Income Statement '!K5</f>
        <v>0.12000000000000001</v>
      </c>
      <c r="L10" s="63">
        <f>'Revenue-Built-up'!L9/'Income Statement '!L5</f>
        <v>0.1143933738580214</v>
      </c>
      <c r="M10" s="63">
        <f>'Revenue-Built-up'!M9/'Income Statement '!M5</f>
        <v>0.11106851940584571</v>
      </c>
      <c r="N10" s="63">
        <f>'Revenue-Built-up'!N9/'Income Statement '!N5</f>
        <v>0.1081890716363741</v>
      </c>
      <c r="O10" s="63">
        <f>'Revenue-Built-up'!O9/'Income Statement '!O5</f>
        <v>0.10786862630657398</v>
      </c>
      <c r="P10" s="63">
        <f>'Revenue-Built-up'!P9/'Income Statement '!P5</f>
        <v>0.10772023648897285</v>
      </c>
    </row>
    <row r="11" spans="1:17">
      <c r="A11" s="117"/>
      <c r="C11" s="57"/>
      <c r="G11" s="63"/>
      <c r="H11" s="63"/>
      <c r="I11" s="63"/>
      <c r="J11" s="63"/>
      <c r="K11" s="63"/>
      <c r="L11" s="63"/>
      <c r="M11" s="63"/>
      <c r="N11" s="63"/>
      <c r="O11" s="63"/>
      <c r="P11" s="63"/>
    </row>
    <row r="12" spans="1:17">
      <c r="A12" s="58" t="s">
        <v>251</v>
      </c>
      <c r="C12" s="57"/>
      <c r="E12" s="58"/>
      <c r="F12" s="116"/>
      <c r="G12" s="58"/>
      <c r="H12" s="58"/>
      <c r="I12" s="58"/>
      <c r="J12" s="58"/>
      <c r="K12" s="58"/>
      <c r="L12" s="58"/>
      <c r="M12" s="58"/>
      <c r="N12" s="58"/>
      <c r="O12" s="58"/>
    </row>
    <row r="13" spans="1:17">
      <c r="A13" s="117"/>
      <c r="B13" s="57" t="s">
        <v>252</v>
      </c>
      <c r="C13" s="57"/>
      <c r="H13" s="63">
        <f>'Income Statement '!H5/'Income Statement '!G5-1</f>
        <v>0.26186865741280774</v>
      </c>
      <c r="I13" s="63">
        <f>'Income Statement '!I5/'Income Statement '!H5-1</f>
        <v>0.3007025328156776</v>
      </c>
      <c r="J13" s="63">
        <f>'Income Statement '!J5/'Income Statement '!I5-1</f>
        <v>0.31817212706986009</v>
      </c>
      <c r="K13" s="63">
        <f>'Income Statement '!K5/'Income Statement '!J5-1</f>
        <v>0.35028035367694632</v>
      </c>
      <c r="L13" s="63">
        <f>'Income Statement '!L5/'Income Statement '!K5-1</f>
        <v>0.12321820722699139</v>
      </c>
      <c r="M13" s="63">
        <f>'Income Statement '!M5/'Income Statement '!L5-1</f>
        <v>0.11282926309054075</v>
      </c>
      <c r="N13" s="63">
        <f>'Income Statement '!N5/'Income Statement '!M5-1</f>
        <v>0.10899217377415749</v>
      </c>
      <c r="O13" s="63">
        <f>'Income Statement '!O5/'Income Statement '!N5-1</f>
        <v>8.575049687473002E-2</v>
      </c>
      <c r="P13" s="63">
        <f>'Income Statement '!P5/'Income Statement '!O5-1</f>
        <v>8.141879344192704E-2</v>
      </c>
    </row>
    <row r="14" spans="1:17">
      <c r="A14" s="117"/>
      <c r="B14" s="57" t="s">
        <v>253</v>
      </c>
      <c r="C14" s="57"/>
      <c r="H14" s="63">
        <f>('Income Statement '!H16-'Income Statement '!G16)/'Income Statement '!G16</f>
        <v>0.17696629213483145</v>
      </c>
      <c r="I14" s="63">
        <f>('Income Statement '!I16-'Income Statement '!H16)/'Income Statement '!H16</f>
        <v>0.33054892601431979</v>
      </c>
      <c r="J14" s="63">
        <f>('Income Statement '!J16-'Income Statement '!I16)/'Income Statement '!I16</f>
        <v>0.17623318385650225</v>
      </c>
      <c r="K14" s="63">
        <f>('Income Statement '!K16-'Income Statement '!J16)/'Income Statement '!J16</f>
        <v>0.8963019443385436</v>
      </c>
      <c r="L14" s="63">
        <f>('Income Statement '!L16-'Income Statement '!K16)/'Income Statement '!K16</f>
        <v>0.47898331322878968</v>
      </c>
      <c r="M14" s="63">
        <f>('Income Statement '!M16-'Income Statement '!L16)/'Income Statement '!L16</f>
        <v>0.46393654124271366</v>
      </c>
      <c r="N14" s="63">
        <f>('Income Statement '!N16-'Income Statement '!M16)/'Income Statement '!M16</f>
        <v>0.35715116773040684</v>
      </c>
      <c r="O14" s="63">
        <f>('Income Statement '!O16-'Income Statement '!N16)/'Income Statement '!N16</f>
        <v>0.26866628392747871</v>
      </c>
      <c r="P14" s="63">
        <f>('Income Statement '!P16-'Income Statement '!O16)/'Income Statement '!O16</f>
        <v>0.2774495937482237</v>
      </c>
    </row>
    <row r="15" spans="1:17">
      <c r="A15" s="117"/>
      <c r="B15" s="57" t="s">
        <v>254</v>
      </c>
      <c r="C15" s="57"/>
      <c r="H15" s="63">
        <f>('Income Statement '!H19-'Income Statement '!G19)/'Income Statement '!G19</f>
        <v>0.16678012253233493</v>
      </c>
      <c r="I15" s="63">
        <f>('Income Statement '!I19-'Income Statement '!H19)/'Income Statement '!H19</f>
        <v>0.34305717619603265</v>
      </c>
      <c r="J15" s="63">
        <f>('Income Statement '!J19-'Income Statement '!I19)/'Income Statement '!I19</f>
        <v>0.17158992180712423</v>
      </c>
      <c r="K15" s="63">
        <f>('Income Statement '!K19-'Income Statement '!J19)/'Income Statement '!J19</f>
        <v>0.8976640711902113</v>
      </c>
      <c r="L15" s="63">
        <f>('Income Statement '!L19-'Income Statement '!K19)/'Income Statement '!K19</f>
        <v>0.56437338804220394</v>
      </c>
      <c r="M15" s="63">
        <f>('Income Statement '!M19-'Income Statement '!L19)/'Income Statement '!L19</f>
        <v>0.46998680940635051</v>
      </c>
      <c r="N15" s="63">
        <f>('Income Statement '!N19-'Income Statement '!M19)/'Income Statement '!M19</f>
        <v>0.3607918673814588</v>
      </c>
      <c r="O15" s="63">
        <f>('Income Statement '!O19-'Income Statement '!N19)/'Income Statement '!N19</f>
        <v>0.27015652206706953</v>
      </c>
      <c r="P15" s="63">
        <f>('Income Statement '!P19-'Income Statement '!O19)/'Income Statement '!O19</f>
        <v>0.27256280244033637</v>
      </c>
    </row>
    <row r="16" spans="1:17">
      <c r="A16" s="117"/>
      <c r="B16" s="57" t="s">
        <v>255</v>
      </c>
      <c r="C16" s="57"/>
      <c r="H16" s="63">
        <f>'Income Statement '!H22/'Income Statement '!G22-1</f>
        <v>0.33730631704410019</v>
      </c>
      <c r="I16" s="63">
        <f>'Income Statement '!I22/'Income Statement '!H22-1</f>
        <v>0.51871657754010703</v>
      </c>
      <c r="J16" s="63">
        <f>'Income Statement '!J22/'Income Statement '!I22-1</f>
        <v>0.19953051643192499</v>
      </c>
      <c r="K16" s="63">
        <f>'Income Statement '!K22/'Income Statement '!J22-1</f>
        <v>1.1296477495107631</v>
      </c>
      <c r="L16" s="63">
        <f>'Income Statement '!L22/'Income Statement '!K22-1</f>
        <v>0.66470549046634497</v>
      </c>
      <c r="M16" s="63">
        <f>'Income Statement '!M22/'Income Statement '!L22-1</f>
        <v>0.52203840687518821</v>
      </c>
      <c r="N16" s="63">
        <f>'Income Statement '!N22/'Income Statement '!M22-1</f>
        <v>0.38771863733232914</v>
      </c>
      <c r="O16" s="63">
        <f>'Income Statement '!O22/'Income Statement '!N22-1</f>
        <v>0.28530193691930528</v>
      </c>
      <c r="P16" s="63">
        <f>'Income Statement '!P22/'Income Statement '!O22-1</f>
        <v>0.28387899173879894</v>
      </c>
    </row>
    <row r="17" spans="1:16">
      <c r="A17" s="117"/>
      <c r="B17" s="57" t="s">
        <v>103</v>
      </c>
      <c r="C17" s="57"/>
      <c r="H17" s="63">
        <f>'Income Statement '!H25/'Income Statement '!G25-1</f>
        <v>0.33730631704409997</v>
      </c>
      <c r="I17" s="63">
        <f>'Income Statement '!I25/'Income Statement '!H25-1</f>
        <v>0.51871657754010703</v>
      </c>
      <c r="J17" s="63">
        <f>'Income Statement '!J25/'Income Statement '!I25-1</f>
        <v>0.19953051643192476</v>
      </c>
      <c r="K17" s="63">
        <f>'Income Statement '!K25/'Income Statement '!J25-1</f>
        <v>1.1296477495107631</v>
      </c>
      <c r="L17" s="63">
        <f>'Income Statement '!L25/'Income Statement '!K25-1</f>
        <v>0.66470549046634519</v>
      </c>
      <c r="M17" s="63">
        <f>'Income Statement '!M25/'Income Statement '!L25-1</f>
        <v>0.52203840687518799</v>
      </c>
      <c r="N17" s="63">
        <f>'Income Statement '!N25/'Income Statement '!M25-1</f>
        <v>0.38771863733232936</v>
      </c>
      <c r="O17" s="63">
        <f>'Income Statement '!O25/'Income Statement '!N25-1</f>
        <v>0.28530193691930505</v>
      </c>
      <c r="P17" s="63">
        <f>'Income Statement '!P25/'Income Statement '!O25-1</f>
        <v>0.28387899173879894</v>
      </c>
    </row>
    <row r="18" spans="1:16">
      <c r="A18" s="58" t="s">
        <v>256</v>
      </c>
      <c r="C18" s="57"/>
      <c r="E18" s="58"/>
      <c r="F18" s="116"/>
      <c r="G18" s="58"/>
      <c r="H18" s="63"/>
      <c r="I18" s="63"/>
      <c r="J18" s="63"/>
      <c r="K18" s="63"/>
      <c r="L18" s="63"/>
      <c r="M18" s="63"/>
      <c r="N18" s="63"/>
      <c r="O18" s="63"/>
      <c r="P18" s="63"/>
    </row>
    <row r="19" spans="1:16">
      <c r="A19" s="117"/>
      <c r="B19" s="57" t="s">
        <v>257</v>
      </c>
      <c r="C19" s="57"/>
      <c r="G19" s="63">
        <f>'Income Statement '!G8/'Income Statement '!G5</f>
        <v>0.76262685174384692</v>
      </c>
      <c r="H19" s="63">
        <f>'Income Statement '!H8/'Income Statement '!H5</f>
        <v>0.77380292105749682</v>
      </c>
      <c r="I19" s="63">
        <f>'Income Statement '!I8/'Income Statement '!I5</f>
        <v>0.77044986141709904</v>
      </c>
      <c r="J19" s="63">
        <f>'Income Statement '!J8/'Income Statement '!J5</f>
        <v>0.78730860470131547</v>
      </c>
      <c r="K19" s="63">
        <f>'Income Statement '!K8/'Income Statement '!K5</f>
        <v>0.73339988021561187</v>
      </c>
      <c r="L19" s="63">
        <f>'Income Statement '!L8/'Income Statement '!L5</f>
        <v>0.65344282108705698</v>
      </c>
      <c r="M19" s="63">
        <f>'Income Statement '!M8/'Income Statement '!M5</f>
        <v>0.57399776393547353</v>
      </c>
      <c r="N19" s="63">
        <f>'Income Statement '!N8/'Income Statement '!N5</f>
        <v>0.50001440216608573</v>
      </c>
      <c r="O19" s="63">
        <f>'Income Statement '!O8/'Income Statement '!O5</f>
        <v>0.43306627049397783</v>
      </c>
      <c r="P19" s="63">
        <f>'Income Statement '!P8/'Income Statement '!P5</f>
        <v>0.34590192085960308</v>
      </c>
    </row>
    <row r="20" spans="1:16">
      <c r="A20" s="117"/>
      <c r="B20" s="129" t="s">
        <v>223</v>
      </c>
      <c r="C20" s="57"/>
      <c r="G20" s="63">
        <f>'Income Statement '!G9/'Income Statement '!G5</f>
        <v>9.3316225358684238E-3</v>
      </c>
      <c r="H20" s="63">
        <f>'Income Statement '!H9/'Income Statement '!H5</f>
        <v>9.2438528378628211E-3</v>
      </c>
      <c r="I20" s="63">
        <f>'Income Statement '!I9/'Income Statement '!I5</f>
        <v>9.1677919124440333E-3</v>
      </c>
      <c r="J20" s="63">
        <f>'Income Statement '!J9/'Income Statement '!J5</f>
        <v>9.2732370066853573E-3</v>
      </c>
      <c r="K20" s="63">
        <f>'Income Statement '!K9/'Income Statement '!K5</f>
        <v>8.983829107606308E-3</v>
      </c>
      <c r="L20" s="63">
        <f>'Income Statement '!L9/'Income Statement '!L5</f>
        <v>7.9982936973445658E-3</v>
      </c>
      <c r="M20" s="63">
        <f>'Income Statement '!M9/'Income Statement '!M5</f>
        <v>6.995687589841878E-3</v>
      </c>
      <c r="N20" s="63">
        <f>'Income Statement '!N9/'Income Statement '!N5</f>
        <v>5.991301091684189E-3</v>
      </c>
      <c r="O20" s="63">
        <f>'Income Statement '!O9/'Income Statement '!O5</f>
        <v>5.0140605931978562E-3</v>
      </c>
      <c r="P20" s="63">
        <f>'Income Statement '!P9/'Income Statement '!P5</f>
        <v>5.0045384294580874E-3</v>
      </c>
    </row>
    <row r="21" spans="1:16">
      <c r="A21" s="117"/>
      <c r="B21" s="129" t="s">
        <v>224</v>
      </c>
      <c r="C21" s="57"/>
      <c r="G21" s="63">
        <f>'Income Statement '!G10/'Income Statement '!G5</f>
        <v>1.5980403592674677E-2</v>
      </c>
      <c r="H21" s="63">
        <f>'Income Statement '!H10/'Income Statement '!H5</f>
        <v>1.5991865409502679E-2</v>
      </c>
      <c r="I21" s="63">
        <f>'Income Statement '!I10/'Income Statement '!I5</f>
        <v>1.5990334731007035E-2</v>
      </c>
      <c r="J21" s="63">
        <f>'Income Statement '!J10/'Income Statement '!J5</f>
        <v>1.6012508087125298E-2</v>
      </c>
      <c r="K21" s="63">
        <f>'Income Statement '!K10/'Income Statement '!K5</f>
        <v>1.60111798762228E-2</v>
      </c>
      <c r="L21" s="63">
        <f>'Income Statement '!L10/'Income Statement '!L5</f>
        <v>3.5050300380363303E-2</v>
      </c>
      <c r="M21" s="63">
        <f>'Income Statement '!M10/'Income Statement '!M5</f>
        <v>3.5000000000000003E-2</v>
      </c>
      <c r="N21" s="63">
        <f>'Income Statement '!N10/'Income Statement '!N5</f>
        <v>3.4000000000000002E-2</v>
      </c>
      <c r="O21" s="63">
        <f>'Income Statement '!O10/'Income Statement '!O5</f>
        <v>3.2000000000000001E-2</v>
      </c>
      <c r="P21" s="63">
        <f>'Income Statement '!P10/'Income Statement '!P5</f>
        <v>3.1E-2</v>
      </c>
    </row>
    <row r="22" spans="1:16">
      <c r="A22" s="117"/>
      <c r="B22" s="20" t="s">
        <v>582</v>
      </c>
      <c r="C22" s="57"/>
      <c r="G22" s="63">
        <f>SUM('Income Statement '!G11+'Income Statement '!G12+'Income Statement '!G13+'Income Statement '!G14)/'Income Statement '!G5</f>
        <v>4.5958240989151987E-2</v>
      </c>
      <c r="H22" s="63">
        <f>SUM('Income Statement '!H11+'Income Statement '!H12+'Income Statement '!H13+'Income Statement '!H14)/'Income Statement '!H5</f>
        <v>4.603438713255685E-2</v>
      </c>
      <c r="I22" s="63">
        <f>SUM('Income Statement '!I11+'Income Statement '!I12+'Income Statement '!I13+'Income Statement '!I14)/'Income Statement '!I5</f>
        <v>4.5910027716580197E-2</v>
      </c>
      <c r="J22" s="63">
        <f>SUM('Income Statement '!J11+'Income Statement '!J12+'Income Statement '!J13+'Income Statement '!J14)/'Income Statement '!J5</f>
        <v>4.5988785852922147E-2</v>
      </c>
      <c r="K22" s="63">
        <f>SUM('Income Statement '!K11+'Income Statement '!K12+'Income Statement '!K13+'Income Statement '!K14)/'Income Statement '!K5</f>
        <v>4.3002595328408867E-2</v>
      </c>
      <c r="L22" s="63">
        <f>SUM('Income Statement '!L11+'Income Statement '!L12+'Income Statement '!L13+'Income Statement '!L14)/'Income Statement '!L5</f>
        <v>4.2001244179019591E-2</v>
      </c>
      <c r="M22" s="63">
        <f>SUM('Income Statement '!M11+'Income Statement '!M12+'Income Statement '!M13+'Income Statement '!M14)/'Income Statement '!M5</f>
        <v>3.9991375179683757E-2</v>
      </c>
      <c r="N22" s="63">
        <f>SUM('Income Statement '!N11+'Income Statement '!N12+'Income Statement '!N13+'Income Statement '!N14)/'Income Statement '!N5</f>
        <v>3.8998905435377478E-2</v>
      </c>
      <c r="O22" s="63">
        <f>SUM('Income Statement '!O11+'Income Statement '!O12+'Income Statement '!O13+'Income Statement '!O14)/'Income Statement '!O5</f>
        <v>3.7999416352735182E-2</v>
      </c>
      <c r="P22" s="63">
        <f>SUM('Income Statement '!P11+'Income Statement '!P12+'Income Statement '!P13+'Income Statement '!P14)/'Income Statement '!P5</f>
        <v>3.7001987096141109E-2</v>
      </c>
    </row>
    <row r="23" spans="1:16">
      <c r="A23" s="58" t="s">
        <v>258</v>
      </c>
      <c r="C23" s="57"/>
      <c r="E23" s="58"/>
      <c r="F23" s="116"/>
      <c r="G23" s="58"/>
      <c r="H23" s="63"/>
      <c r="I23" s="63"/>
      <c r="J23" s="63"/>
      <c r="K23" s="63"/>
      <c r="L23" s="63"/>
      <c r="M23" s="63"/>
      <c r="N23" s="63"/>
      <c r="O23" s="63"/>
      <c r="P23" s="63"/>
    </row>
    <row r="24" spans="1:16">
      <c r="A24" s="117"/>
      <c r="B24" s="57" t="s">
        <v>259</v>
      </c>
      <c r="C24" s="57"/>
      <c r="G24" s="130">
        <f>('Balance Sheet '!F22+'Balance Sheet '!F23+'Balance Sheet '!F24+'Balance Sheet '!F25)/('Balance Sheet '!F10+'Balance Sheet '!F12+'Balance Sheet '!F13+'Balance Sheet '!F11+'Balance Sheet '!F14)</f>
        <v>1.1337931034482758</v>
      </c>
      <c r="H24" s="130">
        <f>('Balance Sheet '!G22+'Balance Sheet '!G23+'Balance Sheet '!G24+'Balance Sheet '!G25)/('Balance Sheet '!G10+'Balance Sheet '!G12+'Balance Sheet '!G13+'Balance Sheet '!G11+'Balance Sheet '!G14)</f>
        <v>1.2952235772357723</v>
      </c>
      <c r="I24" s="130">
        <f>('Balance Sheet '!H22+'Balance Sheet '!H23+'Balance Sheet '!H24+'Balance Sheet '!H25)/('Balance Sheet '!H10+'Balance Sheet '!H12+'Balance Sheet '!H13+'Balance Sheet '!H11+'Balance Sheet '!H14)</f>
        <v>1.2424527036092849</v>
      </c>
      <c r="J24" s="130">
        <f>('Balance Sheet '!I22+'Balance Sheet '!I23+'Balance Sheet '!I24+'Balance Sheet '!I25)/('Balance Sheet '!I10+'Balance Sheet '!I12+'Balance Sheet '!I13+'Balance Sheet '!I11+'Balance Sheet '!I14)</f>
        <v>1.2159526679084036</v>
      </c>
      <c r="K24" s="130">
        <f>('Balance Sheet '!J22+'Balance Sheet '!J23+'Balance Sheet '!J24+'Balance Sheet '!J25)/('Balance Sheet '!J10+'Balance Sheet '!J12+'Balance Sheet '!J13+'Balance Sheet '!J11+'Balance Sheet '!J14)</f>
        <v>1.6358846367165836</v>
      </c>
      <c r="L24" s="130">
        <f>('Balance Sheet '!K22+'Balance Sheet '!K23+'Balance Sheet '!K24+'Balance Sheet '!K25)/('Balance Sheet '!K10+'Balance Sheet '!K12+'Balance Sheet '!K13+'Balance Sheet '!K11+'Balance Sheet '!K14)</f>
        <v>2.1523683839672949</v>
      </c>
      <c r="M24" s="130">
        <f>('Balance Sheet '!L22+'Balance Sheet '!L23+'Balance Sheet '!L24+'Balance Sheet '!L25)/('Balance Sheet '!L10+'Balance Sheet '!L12+'Balance Sheet '!L13+'Balance Sheet '!L11+'Balance Sheet '!L14)</f>
        <v>2.7823094287457995</v>
      </c>
      <c r="N24" s="130">
        <f>('Balance Sheet '!M22+'Balance Sheet '!M23+'Balance Sheet '!M24+'Balance Sheet '!M25)/('Balance Sheet '!M10+'Balance Sheet '!M12+'Balance Sheet '!M13+'Balance Sheet '!M11+'Balance Sheet '!M14)</f>
        <v>3.6717693184545932</v>
      </c>
      <c r="O24" s="130">
        <f>('Balance Sheet '!N22+'Balance Sheet '!N23+'Balance Sheet '!N24+'Balance Sheet '!N25)/('Balance Sheet '!N10+'Balance Sheet '!N12+'Balance Sheet '!N13+'Balance Sheet '!N11+'Balance Sheet '!N14)</f>
        <v>4.7381778159502099</v>
      </c>
      <c r="P24" s="130">
        <f>('Balance Sheet '!O22+'Balance Sheet '!O23+'Balance Sheet '!O24+'Balance Sheet '!O25)/('Balance Sheet '!O10+'Balance Sheet '!O12+'Balance Sheet '!O13+'Balance Sheet '!O11+'Balance Sheet '!O14)</f>
        <v>6.1009876061052015</v>
      </c>
    </row>
    <row r="25" spans="1:16">
      <c r="A25" s="117"/>
      <c r="B25" s="57" t="s">
        <v>260</v>
      </c>
      <c r="C25" s="57"/>
      <c r="E25" s="131"/>
      <c r="G25" s="130">
        <f>('Balance Sheet '!F24+'Balance Sheet '!F23)/('Balance Sheet '!F11+'Balance Sheet '!F12+'Balance Sheet '!F13+'Balance Sheet '!F14+'Balance Sheet '!F10)</f>
        <v>0.18544061302681991</v>
      </c>
      <c r="H25" s="130">
        <f>('Balance Sheet '!G24+'Balance Sheet '!G23)/('Balance Sheet '!G11+'Balance Sheet '!G12+'Balance Sheet '!G13+'Balance Sheet '!G14+'Balance Sheet '!G10)</f>
        <v>0.15176151761517614</v>
      </c>
      <c r="I25" s="130">
        <f>('Balance Sheet '!H24+'Balance Sheet '!H23)/('Balance Sheet '!H11+'Balance Sheet '!H12+'Balance Sheet '!H13+'Balance Sheet '!H14+'Balance Sheet '!H10)</f>
        <v>0.16449751777807595</v>
      </c>
      <c r="J25" s="130">
        <f>('Balance Sheet '!I24+'Balance Sheet '!I23)/('Balance Sheet '!I11+'Balance Sheet '!I12+'Balance Sheet '!I13+'Balance Sheet '!I14+'Balance Sheet '!I10)</f>
        <v>0.14276322997699134</v>
      </c>
      <c r="K25" s="130">
        <f>('Balance Sheet '!J24+'Balance Sheet '!J23)/('Balance Sheet '!J11+'Balance Sheet '!J12+'Balance Sheet '!J13+'Balance Sheet '!J14+'Balance Sheet '!J10)</f>
        <v>0.59447217600295799</v>
      </c>
      <c r="L25" s="130">
        <f>('Balance Sheet '!K24+'Balance Sheet '!K23)/('Balance Sheet '!K11+'Balance Sheet '!K12+'Balance Sheet '!K13+'Balance Sheet '!K14+'Balance Sheet '!K10)</f>
        <v>1.6132856034654202</v>
      </c>
      <c r="M25" s="130">
        <f>('Balance Sheet '!L24+'Balance Sheet '!L23)/('Balance Sheet '!L11+'Balance Sheet '!L12+'Balance Sheet '!L13+'Balance Sheet '!L14+'Balance Sheet '!L10)</f>
        <v>2.2014362850707236</v>
      </c>
      <c r="N25" s="130">
        <f>('Balance Sheet '!M24+'Balance Sheet '!M23)/('Balance Sheet '!M11+'Balance Sheet '!M12+'Balance Sheet '!M13+'Balance Sheet '!M14+'Balance Sheet '!M10)</f>
        <v>3.1360036365786939</v>
      </c>
      <c r="O25" s="130">
        <f>('Balance Sheet '!N24+'Balance Sheet '!N23)/('Balance Sheet '!N11+'Balance Sheet '!N12+'Balance Sheet '!N13+'Balance Sheet '!N14+'Balance Sheet '!N10)</f>
        <v>4.2470011061835997</v>
      </c>
      <c r="P25" s="130">
        <f>('Balance Sheet '!O24+'Balance Sheet '!O23)/('Balance Sheet '!O11+'Balance Sheet '!O12+'Balance Sheet '!O13+'Balance Sheet '!O14+'Balance Sheet '!O10)</f>
        <v>5.6265112184329862</v>
      </c>
    </row>
    <row r="26" spans="1:16">
      <c r="A26" s="58" t="s">
        <v>261</v>
      </c>
      <c r="C26" s="57"/>
      <c r="E26" s="58"/>
      <c r="F26" s="116"/>
      <c r="G26" s="58"/>
      <c r="H26" s="63"/>
      <c r="I26" s="63"/>
      <c r="J26" s="63"/>
      <c r="K26" s="63"/>
      <c r="L26" s="63"/>
      <c r="M26" s="63"/>
      <c r="N26" s="63"/>
      <c r="O26" s="63"/>
      <c r="P26" s="63"/>
    </row>
    <row r="27" spans="1:16">
      <c r="A27" s="117"/>
      <c r="B27" s="57" t="s">
        <v>262</v>
      </c>
      <c r="C27" s="57"/>
      <c r="H27" s="63">
        <f>'Income Statement '!G25/AVERAGE('Balance Sheet '!F8,'Balance Sheet '!G8)</f>
        <v>0.19333703019100432</v>
      </c>
      <c r="I27" s="63">
        <f>'Income Statement '!H25/AVERAGE('Balance Sheet '!G8,'Balance Sheet '!H8)</f>
        <v>0.19503973971647687</v>
      </c>
      <c r="J27" s="63">
        <f>'Income Statement '!I25/AVERAGE('Balance Sheet '!H8,'Balance Sheet '!I8)</f>
        <v>0.22343623455166975</v>
      </c>
      <c r="K27" s="63">
        <f>'Income Statement '!J25/AVERAGE('Balance Sheet '!I8,'Balance Sheet '!J8)</f>
        <v>0.18882450290230951</v>
      </c>
      <c r="L27" s="63">
        <f>'Income Statement '!K25/AVERAGE('Balance Sheet '!J8,'Balance Sheet '!K8)</f>
        <v>0.26182405918301704</v>
      </c>
      <c r="M27" s="63">
        <f>'Income Statement '!L25/AVERAGE('Balance Sheet '!K8,'Balance Sheet '!L8)</f>
        <v>0.28124082000726403</v>
      </c>
      <c r="N27" s="63">
        <f>'Income Statement '!M25/AVERAGE('Balance Sheet '!L8,'Balance Sheet '!M8)</f>
        <v>0.28325164663874192</v>
      </c>
      <c r="O27" s="63">
        <f>'Income Statement '!N25/AVERAGE('Balance Sheet '!M8,'Balance Sheet '!N8)</f>
        <v>0.27120853177301102</v>
      </c>
      <c r="P27" s="63">
        <f>'Income Statement '!O25/AVERAGE('Balance Sheet '!N8,'Balance Sheet '!O8)</f>
        <v>0.24930514055299535</v>
      </c>
    </row>
    <row r="28" spans="1:16">
      <c r="A28" s="117"/>
      <c r="B28" s="57" t="s">
        <v>263</v>
      </c>
      <c r="C28" s="57"/>
      <c r="H28" s="132">
        <v>0.19</v>
      </c>
      <c r="I28" s="132">
        <v>0.20100000000000001</v>
      </c>
      <c r="J28" s="132">
        <v>0.218</v>
      </c>
      <c r="K28" s="132">
        <v>0.20499999999999999</v>
      </c>
      <c r="L28" s="132">
        <v>0.28499999999999998</v>
      </c>
      <c r="M28" s="132">
        <v>0.36499999999999999</v>
      </c>
      <c r="N28" s="132">
        <v>0.38200000000000001</v>
      </c>
      <c r="O28" s="132">
        <v>0.38900000000000001</v>
      </c>
      <c r="P28" s="132">
        <v>0.39</v>
      </c>
    </row>
    <row r="29" spans="1:16">
      <c r="A29" s="58" t="s">
        <v>264</v>
      </c>
      <c r="C29" s="57"/>
      <c r="E29" s="58"/>
      <c r="F29" s="116"/>
      <c r="G29" s="58"/>
      <c r="H29" s="63"/>
      <c r="I29" s="63"/>
      <c r="J29" s="63"/>
      <c r="K29" s="63"/>
      <c r="L29" s="63"/>
      <c r="M29" s="63"/>
      <c r="N29" s="63"/>
      <c r="O29" s="63"/>
      <c r="P29" s="63"/>
    </row>
    <row r="30" spans="1:16">
      <c r="A30" s="20" t="s">
        <v>583</v>
      </c>
      <c r="C30" s="57"/>
      <c r="G30" s="130"/>
      <c r="H30" s="133">
        <f>('Balance Sheet '!F10-'Balance Sheet '!F24)/'Balance Sheet '!F8</f>
        <v>0.74345364472753006</v>
      </c>
      <c r="I30" s="133">
        <f>('Balance Sheet '!G10-'Balance Sheet '!G24)/'Balance Sheet '!G8</f>
        <v>0.69885433715220946</v>
      </c>
      <c r="J30" s="133">
        <f>('Balance Sheet '!H10-'Balance Sheet '!H24)/'Balance Sheet '!H8</f>
        <v>0.50991902834008096</v>
      </c>
      <c r="K30" s="133">
        <f>('Balance Sheet '!I10-'Balance Sheet '!I24)/'Balance Sheet '!I8</f>
        <v>0.36203431751429899</v>
      </c>
      <c r="L30" s="133">
        <f>('Balance Sheet '!J10-'Balance Sheet '!J24)/'Balance Sheet '!J8</f>
        <v>-0.28154241645244216</v>
      </c>
      <c r="M30" s="133">
        <f>('Balance Sheet '!K10-'Balance Sheet '!K24)/'Balance Sheet '!K8</f>
        <v>-0.99306793424440487</v>
      </c>
      <c r="N30" s="133">
        <f>('Balance Sheet '!L10-'Balance Sheet '!L24)/'Balance Sheet '!L8</f>
        <v>-0.97534082653104837</v>
      </c>
      <c r="O30" s="133">
        <f>('Balance Sheet '!M10-'Balance Sheet '!M24)/'Balance Sheet '!M8</f>
        <v>-1.0100995610133991</v>
      </c>
      <c r="P30" s="133">
        <f>('Balance Sheet '!N10-'Balance Sheet '!N24)/'Balance Sheet '!N8</f>
        <v>-1.015653366684149</v>
      </c>
    </row>
    <row r="31" spans="1:16">
      <c r="A31" s="134"/>
      <c r="B31" s="57" t="s">
        <v>265</v>
      </c>
      <c r="C31" s="57"/>
      <c r="G31" s="130"/>
      <c r="H31" s="135">
        <f>'Income Statement '!G19/'Income Statement '!G20</f>
        <v>3.6271604938271604</v>
      </c>
      <c r="I31" s="135">
        <f>'Income Statement '!H19/'Income Statement '!H20</f>
        <v>4.7611111111111111</v>
      </c>
      <c r="J31" s="135">
        <f>'Income Statement '!I19/'Income Statement '!I20</f>
        <v>6.5212464589235131</v>
      </c>
      <c r="K31" s="135">
        <f>'Income Statement '!J19/'Income Statement '!J20</f>
        <v>7.1160949868073882</v>
      </c>
      <c r="L31" s="135">
        <f>'Income Statement '!K19/'Income Statement '!K20</f>
        <v>12.127962085308058</v>
      </c>
      <c r="M31" s="135">
        <f>'Income Statement '!L19/'Income Statement '!L20</f>
        <v>21.069639473684209</v>
      </c>
      <c r="N31" s="135">
        <f>'Income Statement '!M19/'Income Statement '!M20</f>
        <v>34.615867647058813</v>
      </c>
      <c r="O31" s="135">
        <f>'Income Statement '!N19/'Income Statement '!N20</f>
        <v>53.385656666666669</v>
      </c>
      <c r="P31" s="135">
        <f>'Income Statement '!O19/'Income Statement '!O20</f>
        <v>78.240161538461535</v>
      </c>
    </row>
    <row r="32" spans="1:16">
      <c r="A32" s="117"/>
      <c r="C32" s="57"/>
      <c r="G32" s="130"/>
      <c r="H32" s="136"/>
      <c r="I32" s="136"/>
      <c r="J32" s="136"/>
      <c r="K32" s="136"/>
      <c r="L32" s="136"/>
      <c r="M32" s="136"/>
      <c r="N32" s="136"/>
      <c r="O32" s="136"/>
      <c r="P32" s="136"/>
    </row>
    <row r="33" spans="1:17">
      <c r="A33" s="125"/>
      <c r="B33" s="125"/>
      <c r="C33" s="137"/>
      <c r="D33" s="125"/>
      <c r="E33" s="125"/>
      <c r="F33" s="138"/>
      <c r="G33" s="139"/>
      <c r="H33" s="140"/>
      <c r="I33" s="140"/>
      <c r="J33" s="140"/>
      <c r="K33" s="140"/>
      <c r="L33" s="140"/>
      <c r="M33" s="140"/>
      <c r="N33" s="140"/>
      <c r="O33" s="140"/>
      <c r="P33" s="140"/>
      <c r="Q33" s="1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124"/>
  <sheetViews>
    <sheetView showGridLines="0" topLeftCell="A40" zoomScale="90" zoomScaleNormal="90" workbookViewId="0">
      <selection activeCell="G40" sqref="G40"/>
    </sheetView>
  </sheetViews>
  <sheetFormatPr defaultColWidth="10.25" defaultRowHeight="14.25"/>
  <cols>
    <col min="1" max="2" width="3.25" style="8" customWidth="1"/>
    <col min="3" max="3" width="31.25" style="12" customWidth="1"/>
    <col min="4" max="4" width="8.875" style="8" bestFit="1" customWidth="1"/>
    <col min="5" max="5" width="5.375" style="8" customWidth="1"/>
    <col min="6" max="6" width="6" style="18" customWidth="1"/>
    <col min="7" max="10" width="7.625" style="8" customWidth="1"/>
    <col min="11" max="11" width="9.625" style="8" customWidth="1"/>
    <col min="12" max="16384" width="10.25" style="8"/>
  </cols>
  <sheetData>
    <row r="1" spans="1:26">
      <c r="A1" s="31"/>
      <c r="B1" s="31"/>
      <c r="C1" s="32"/>
      <c r="D1" s="31"/>
      <c r="E1" s="31"/>
      <c r="F1" s="3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26" ht="15" customHeight="1">
      <c r="A2" s="4" t="s">
        <v>128</v>
      </c>
      <c r="B2" s="57"/>
      <c r="C2" s="57"/>
      <c r="D2" s="58"/>
      <c r="E2" s="58"/>
      <c r="F2" s="1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6"/>
      <c r="B3" s="57" t="s">
        <v>129</v>
      </c>
      <c r="C3" s="57"/>
      <c r="D3" s="59">
        <f>'Assumptions '!G84</f>
        <v>6.8000000000000005E-2</v>
      </c>
      <c r="E3" s="58"/>
      <c r="F3" s="15"/>
      <c r="G3" s="7"/>
      <c r="H3" s="4"/>
      <c r="I3" s="4"/>
      <c r="J3" s="4"/>
      <c r="K3" s="4"/>
      <c r="L3" s="4"/>
      <c r="M3" s="4"/>
      <c r="N3" s="4"/>
      <c r="O3" s="4"/>
      <c r="P3" s="4"/>
      <c r="Q3" s="6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6"/>
      <c r="B4" s="57" t="s">
        <v>130</v>
      </c>
      <c r="C4" s="57"/>
      <c r="D4" s="60">
        <f>'Assumptions '!G87</f>
        <v>1.18</v>
      </c>
      <c r="E4" s="58"/>
      <c r="F4" s="16"/>
      <c r="G4" s="7"/>
      <c r="H4" s="4"/>
      <c r="I4" s="4"/>
      <c r="J4" s="4"/>
      <c r="K4" s="4"/>
      <c r="M4" s="4"/>
      <c r="N4" s="4"/>
      <c r="O4" s="4"/>
      <c r="P4" s="4"/>
      <c r="Q4" s="6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6"/>
      <c r="B5" s="61" t="s">
        <v>131</v>
      </c>
      <c r="C5" s="57"/>
      <c r="D5" s="59">
        <f>'Assumptions '!G86</f>
        <v>0.14299999999999999</v>
      </c>
      <c r="E5" s="58"/>
      <c r="F5" s="15"/>
      <c r="G5" s="7"/>
      <c r="H5" s="4"/>
      <c r="I5" s="4"/>
      <c r="J5" s="4"/>
      <c r="K5" s="4"/>
      <c r="L5" s="4"/>
      <c r="M5" s="4"/>
      <c r="N5" s="4"/>
      <c r="O5" s="4"/>
      <c r="P5" s="4"/>
      <c r="Q5" s="6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6"/>
      <c r="B6" s="57" t="s">
        <v>132</v>
      </c>
      <c r="C6" s="57"/>
      <c r="D6" s="62">
        <f>D3+D4*(D5-D3)</f>
        <v>0.15649999999999997</v>
      </c>
      <c r="E6" s="58"/>
      <c r="F6" s="17"/>
      <c r="G6" s="7"/>
      <c r="H6" s="4"/>
      <c r="I6" s="4"/>
      <c r="J6" s="4"/>
      <c r="K6" s="4"/>
      <c r="M6" s="4"/>
      <c r="N6" s="4"/>
      <c r="O6" s="4"/>
      <c r="P6" s="4"/>
      <c r="Q6" s="6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6"/>
      <c r="B7" s="61" t="s">
        <v>133</v>
      </c>
      <c r="C7" s="57"/>
      <c r="D7" s="62">
        <v>9.7500000000000003E-2</v>
      </c>
      <c r="E7" s="58"/>
      <c r="F7" s="15"/>
      <c r="G7" s="7"/>
      <c r="H7" s="4"/>
      <c r="I7" s="4"/>
      <c r="J7" s="4"/>
      <c r="K7" s="4"/>
      <c r="L7" s="4"/>
      <c r="M7" s="4"/>
      <c r="N7" s="4"/>
      <c r="O7" s="4"/>
      <c r="P7" s="4"/>
      <c r="Q7" s="6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6"/>
      <c r="B8" s="57" t="s">
        <v>134</v>
      </c>
      <c r="C8" s="57"/>
      <c r="D8" s="62">
        <f>D7*(1-25%)</f>
        <v>7.3124999999999996E-2</v>
      </c>
      <c r="E8" s="58"/>
      <c r="F8" s="15"/>
      <c r="G8" s="7"/>
      <c r="H8" s="4"/>
      <c r="I8" s="4"/>
      <c r="J8" s="4"/>
      <c r="K8" s="4"/>
      <c r="L8" s="4"/>
      <c r="M8" s="4"/>
      <c r="N8" s="4"/>
      <c r="O8" s="4"/>
      <c r="P8" s="4"/>
      <c r="Q8" s="6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6"/>
      <c r="B9" s="61" t="s">
        <v>135</v>
      </c>
      <c r="C9" s="57"/>
      <c r="D9" s="63"/>
      <c r="E9" s="58"/>
      <c r="F9" s="15"/>
      <c r="G9" s="4"/>
      <c r="H9" s="4"/>
      <c r="I9" s="4"/>
      <c r="J9" s="4"/>
      <c r="K9" s="4"/>
      <c r="L9" s="4"/>
      <c r="M9" s="4"/>
      <c r="N9" s="4"/>
      <c r="O9" s="4"/>
      <c r="P9" s="4"/>
      <c r="Q9" s="6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6"/>
      <c r="B10" s="58" t="s">
        <v>136</v>
      </c>
      <c r="C10" s="58"/>
      <c r="D10" s="62">
        <f>'Assumptions '!G91</f>
        <v>0.12</v>
      </c>
      <c r="E10" s="58"/>
      <c r="F10" s="65"/>
      <c r="G10" s="66">
        <v>0.12</v>
      </c>
      <c r="H10" s="67"/>
      <c r="I10" s="67"/>
      <c r="J10" s="67"/>
      <c r="K10" s="67"/>
      <c r="L10" s="67"/>
      <c r="M10" s="67"/>
      <c r="N10" s="67"/>
      <c r="O10" s="67"/>
      <c r="P10" s="67"/>
      <c r="Q10" s="68"/>
      <c r="R10" s="69"/>
      <c r="S10" s="69"/>
      <c r="T10" s="2"/>
      <c r="U10" s="2"/>
      <c r="V10" s="2"/>
      <c r="W10" s="2"/>
      <c r="X10" s="2"/>
      <c r="Y10" s="2"/>
      <c r="Z10" s="2"/>
    </row>
    <row r="11" spans="1:26" ht="15" customHeight="1">
      <c r="A11" s="6"/>
      <c r="B11" s="57" t="s">
        <v>137</v>
      </c>
      <c r="C11" s="58"/>
      <c r="D11" s="64">
        <f>'Assumptions '!G92</f>
        <v>0.05</v>
      </c>
      <c r="E11" s="58"/>
      <c r="F11" s="70"/>
      <c r="G11" s="66">
        <v>0.05</v>
      </c>
      <c r="H11" s="67"/>
      <c r="I11" s="67"/>
      <c r="J11" s="67"/>
      <c r="K11" s="67"/>
      <c r="L11" s="67"/>
      <c r="M11" s="67"/>
      <c r="N11" s="67"/>
      <c r="O11" s="67"/>
      <c r="P11" s="67"/>
      <c r="Q11" s="68"/>
      <c r="R11" s="69"/>
      <c r="S11" s="69"/>
      <c r="T11" s="2"/>
      <c r="U11" s="2"/>
      <c r="V11" s="2"/>
      <c r="W11" s="2"/>
      <c r="X11" s="2"/>
      <c r="Y11" s="2"/>
      <c r="Z11" s="2"/>
    </row>
    <row r="12" spans="1:26" ht="15" customHeight="1">
      <c r="A12" s="6"/>
      <c r="B12" s="68"/>
      <c r="C12" s="68" t="s">
        <v>1</v>
      </c>
      <c r="D12" s="68"/>
      <c r="E12" s="71"/>
      <c r="F12" s="72"/>
      <c r="G12" s="73">
        <f>F12+1</f>
        <v>1</v>
      </c>
      <c r="H12" s="73">
        <f t="shared" ref="H12:P12" si="0">G12+1</f>
        <v>2</v>
      </c>
      <c r="I12" s="73">
        <f t="shared" si="0"/>
        <v>3</v>
      </c>
      <c r="J12" s="73">
        <f t="shared" si="0"/>
        <v>4</v>
      </c>
      <c r="K12" s="73">
        <f t="shared" si="0"/>
        <v>5</v>
      </c>
      <c r="L12" s="73">
        <f t="shared" si="0"/>
        <v>6</v>
      </c>
      <c r="M12" s="73">
        <f t="shared" si="0"/>
        <v>7</v>
      </c>
      <c r="N12" s="73">
        <f t="shared" si="0"/>
        <v>8</v>
      </c>
      <c r="O12" s="73">
        <f t="shared" si="0"/>
        <v>9</v>
      </c>
      <c r="P12" s="73">
        <f t="shared" si="0"/>
        <v>10</v>
      </c>
      <c r="Q12" s="68"/>
      <c r="R12" s="69"/>
      <c r="S12" s="69"/>
      <c r="T12" s="2"/>
      <c r="U12" s="2"/>
      <c r="V12" s="2"/>
      <c r="W12" s="2"/>
      <c r="X12" s="2"/>
      <c r="Y12" s="2"/>
      <c r="Z12" s="2"/>
    </row>
    <row r="13" spans="1:26" ht="15" customHeight="1">
      <c r="A13" s="10" t="s">
        <v>602</v>
      </c>
      <c r="B13" s="67"/>
      <c r="C13" s="68"/>
      <c r="D13" s="68"/>
      <c r="E13" s="67"/>
      <c r="F13" s="74"/>
      <c r="G13" s="75" t="s">
        <v>2</v>
      </c>
      <c r="H13" s="75" t="s">
        <v>3</v>
      </c>
      <c r="I13" s="75" t="s">
        <v>4</v>
      </c>
      <c r="J13" s="75" t="s">
        <v>5</v>
      </c>
      <c r="K13" s="75" t="s">
        <v>6</v>
      </c>
      <c r="L13" s="75" t="s">
        <v>8</v>
      </c>
      <c r="M13" s="75" t="s">
        <v>237</v>
      </c>
      <c r="N13" s="75" t="s">
        <v>238</v>
      </c>
      <c r="O13" s="75" t="s">
        <v>239</v>
      </c>
      <c r="P13" s="75" t="s">
        <v>240</v>
      </c>
      <c r="Q13" s="68"/>
      <c r="R13" s="69"/>
      <c r="S13" s="69"/>
      <c r="T13" s="2"/>
      <c r="U13" s="2"/>
      <c r="V13" s="2"/>
      <c r="W13" s="2"/>
      <c r="X13" s="2"/>
      <c r="Y13" s="2"/>
      <c r="Z13" s="2"/>
    </row>
    <row r="14" spans="1:26" ht="15.75">
      <c r="A14" s="4" t="s">
        <v>138</v>
      </c>
      <c r="B14" s="68"/>
      <c r="C14" s="68"/>
      <c r="D14" s="68"/>
      <c r="E14" s="67"/>
      <c r="F14" s="74"/>
      <c r="G14" s="67"/>
      <c r="H14" s="67"/>
      <c r="I14" s="67"/>
      <c r="J14" s="67"/>
      <c r="K14" s="67"/>
      <c r="L14" s="68"/>
      <c r="M14" s="68"/>
      <c r="N14" s="68"/>
      <c r="O14" s="68"/>
      <c r="P14" s="68"/>
      <c r="Q14" s="68"/>
      <c r="R14" s="69"/>
      <c r="S14" s="69"/>
      <c r="T14" s="2"/>
      <c r="U14" s="2"/>
      <c r="V14" s="2"/>
      <c r="W14" s="2"/>
      <c r="X14" s="2"/>
      <c r="Y14" s="2"/>
      <c r="Z14" s="2"/>
    </row>
    <row r="15" spans="1:26" ht="15">
      <c r="A15" s="9"/>
      <c r="B15" s="68" t="s">
        <v>139</v>
      </c>
      <c r="C15" s="68"/>
      <c r="D15" s="68"/>
      <c r="E15" s="68"/>
      <c r="F15" s="76"/>
      <c r="G15" s="68"/>
      <c r="H15" s="68"/>
      <c r="I15" s="68"/>
      <c r="J15" s="68"/>
      <c r="K15" s="68"/>
      <c r="L15" s="68">
        <f>'Income Statement '!L19*(1-'Assumptions '!G79)</f>
        <v>5991.2362628999999</v>
      </c>
      <c r="M15" s="68">
        <f>'Income Statement '!N19*(1-'Assumptions '!G79)</f>
        <v>11984.546065099999</v>
      </c>
      <c r="N15" s="68">
        <f>'Income Statement '!N19*(1-'Assumptions '!I79)</f>
        <v>16015.697</v>
      </c>
      <c r="O15" s="68">
        <f>'Income Statement '!O19*(1-'Assumptions '!J79)</f>
        <v>20342.441999999999</v>
      </c>
      <c r="P15" s="68">
        <f>'Income Statement '!P19*(1-'Assumptions '!K79)</f>
        <v>25887.035</v>
      </c>
      <c r="Q15" s="68"/>
      <c r="R15" s="69"/>
      <c r="S15" s="69"/>
      <c r="T15" s="2"/>
      <c r="U15" s="2"/>
      <c r="V15" s="2"/>
      <c r="W15" s="2"/>
      <c r="X15" s="2"/>
      <c r="Y15" s="2"/>
      <c r="Z15" s="2"/>
    </row>
    <row r="16" spans="1:26" ht="15">
      <c r="A16" s="9"/>
      <c r="B16" s="68" t="s">
        <v>105</v>
      </c>
      <c r="C16" s="68"/>
      <c r="D16" s="68"/>
      <c r="E16" s="68"/>
      <c r="F16" s="76"/>
      <c r="G16" s="68"/>
      <c r="H16" s="68"/>
      <c r="I16" s="68"/>
      <c r="J16" s="68"/>
      <c r="K16" s="68"/>
      <c r="L16" s="73">
        <f>'Income Statement '!L21</f>
        <v>380</v>
      </c>
      <c r="M16" s="73">
        <f>'Income Statement '!M21</f>
        <v>400</v>
      </c>
      <c r="N16" s="73">
        <f>'Income Statement '!N21</f>
        <v>410</v>
      </c>
      <c r="O16" s="73">
        <f>'Income Statement '!O21</f>
        <v>410</v>
      </c>
      <c r="P16" s="73">
        <f>'Income Statement '!P21</f>
        <v>410</v>
      </c>
      <c r="Q16" s="68"/>
      <c r="R16" s="69"/>
      <c r="S16" s="69"/>
      <c r="T16" s="2"/>
      <c r="U16" s="2"/>
      <c r="V16" s="2"/>
      <c r="W16" s="2"/>
      <c r="X16" s="2"/>
      <c r="Y16" s="2"/>
      <c r="Z16" s="2"/>
    </row>
    <row r="17" spans="1:26" ht="15">
      <c r="A17" s="9"/>
      <c r="B17" s="68" t="s">
        <v>140</v>
      </c>
      <c r="C17" s="68"/>
      <c r="D17" s="68"/>
      <c r="E17" s="68"/>
      <c r="F17" s="76"/>
      <c r="G17" s="68"/>
      <c r="H17" s="68"/>
      <c r="I17" s="68"/>
      <c r="J17" s="68"/>
      <c r="K17" s="68"/>
      <c r="L17" s="73">
        <f>SUM('Balance Sheet '!G22:G25)-SUM('Balance Sheet '!G10:G14)-SUM('Balance Sheet '!F22:F25)-SUM('Balance Sheet '!F10:F14)</f>
        <v>-12180</v>
      </c>
      <c r="M17" s="73">
        <f>SUM('Balance Sheet '!H22:H25)-SUM('Balance Sheet '!H10:H14)-SUM('Balance Sheet '!G22:G25)-SUM('Balance Sheet '!G10:G14)</f>
        <v>-11744</v>
      </c>
      <c r="N17" s="73">
        <f>SUM('Balance Sheet '!I22:I25)-SUM('Balance Sheet '!I10:I14)-SUM('Balance Sheet '!H22:H25)-SUM('Balance Sheet '!H10:H14)</f>
        <v>-14742</v>
      </c>
      <c r="O17" s="73">
        <f>SUM('Balance Sheet '!J22:J25)-SUM('Balance Sheet '!J10:J14)-SUM('Balance Sheet '!I22:I25)-SUM('Balance Sheet '!I10:I14)</f>
        <v>-13346</v>
      </c>
      <c r="P17" s="73">
        <f>SUM('Balance Sheet '!K22:K25)-SUM('Balance Sheet '!K10:K14)-SUM('Balance Sheet '!J22:J25)-SUM('Balance Sheet '!J10:J14)</f>
        <v>-16529.216438356165</v>
      </c>
      <c r="Q17" s="68"/>
      <c r="R17" s="69"/>
      <c r="S17" s="69"/>
      <c r="T17" s="2"/>
      <c r="U17" s="2"/>
      <c r="V17" s="2"/>
      <c r="W17" s="2"/>
      <c r="X17" s="2"/>
      <c r="Y17" s="2"/>
      <c r="Z17" s="2"/>
    </row>
    <row r="18" spans="1:26" ht="15">
      <c r="A18" s="9"/>
      <c r="B18" s="68" t="s">
        <v>141</v>
      </c>
      <c r="C18" s="68"/>
      <c r="D18" s="68"/>
      <c r="E18" s="68"/>
      <c r="F18" s="76"/>
      <c r="G18" s="68"/>
      <c r="H18" s="68"/>
      <c r="I18" s="68"/>
      <c r="J18" s="68"/>
      <c r="K18" s="68"/>
      <c r="L18" s="73">
        <f>'Cash Flow Statement'!L23</f>
        <v>-124</v>
      </c>
      <c r="M18" s="73">
        <f>'Cash Flow Statement'!M23</f>
        <v>-98</v>
      </c>
      <c r="N18" s="73">
        <f>'Cash Flow Statement'!N23</f>
        <v>-78</v>
      </c>
      <c r="O18" s="73">
        <f>'Cash Flow Statement'!O23</f>
        <v>-43</v>
      </c>
      <c r="P18" s="73">
        <f>'Cash Flow Statement'!P23</f>
        <v>-50</v>
      </c>
      <c r="Q18" s="68"/>
      <c r="R18" s="69"/>
      <c r="S18" s="69"/>
      <c r="T18" s="2"/>
      <c r="U18" s="2"/>
      <c r="V18" s="2"/>
      <c r="W18" s="2"/>
      <c r="X18" s="2"/>
      <c r="Y18" s="2"/>
      <c r="Z18" s="2"/>
    </row>
    <row r="19" spans="1:26" s="11" customFormat="1" ht="15.75">
      <c r="A19" s="5"/>
      <c r="B19" s="77" t="s">
        <v>138</v>
      </c>
      <c r="C19" s="77"/>
      <c r="D19" s="77"/>
      <c r="E19" s="77"/>
      <c r="F19" s="78"/>
      <c r="G19" s="77"/>
      <c r="H19" s="77"/>
      <c r="I19" s="77"/>
      <c r="J19" s="77"/>
      <c r="K19" s="77"/>
      <c r="L19" s="79">
        <f>L15+L16+-L17-L18</f>
        <v>18675.236262899998</v>
      </c>
      <c r="M19" s="79">
        <f t="shared" ref="M19:P19" si="1">M15+M16+-M17-M18</f>
        <v>24226.546065099999</v>
      </c>
      <c r="N19" s="79">
        <f t="shared" si="1"/>
        <v>31245.697</v>
      </c>
      <c r="O19" s="79">
        <f t="shared" si="1"/>
        <v>34141.441999999995</v>
      </c>
      <c r="P19" s="79">
        <f t="shared" si="1"/>
        <v>42876.251438356165</v>
      </c>
      <c r="Q19" s="67"/>
      <c r="R19" s="80"/>
      <c r="S19" s="80"/>
      <c r="T19" s="3"/>
      <c r="U19" s="3"/>
      <c r="V19" s="3"/>
      <c r="W19" s="3"/>
      <c r="X19" s="3"/>
      <c r="Y19" s="3"/>
      <c r="Z19" s="3"/>
    </row>
    <row r="20" spans="1:26" ht="15.75">
      <c r="A20" s="4" t="s">
        <v>142</v>
      </c>
      <c r="B20" s="68"/>
      <c r="C20" s="68"/>
      <c r="D20" s="68"/>
      <c r="E20" s="67"/>
      <c r="F20" s="74"/>
      <c r="G20" s="67"/>
      <c r="H20" s="67"/>
      <c r="I20" s="67"/>
      <c r="J20" s="67"/>
      <c r="K20" s="67"/>
      <c r="L20" s="67"/>
      <c r="M20" s="67"/>
      <c r="N20" s="67"/>
      <c r="O20" s="67"/>
      <c r="P20" s="68"/>
      <c r="Q20" s="68"/>
      <c r="R20" s="69"/>
      <c r="S20" s="69"/>
      <c r="T20" s="2"/>
      <c r="U20" s="2"/>
      <c r="V20" s="2"/>
      <c r="W20" s="2"/>
      <c r="X20" s="2"/>
      <c r="Y20" s="2"/>
      <c r="Z20" s="2"/>
    </row>
    <row r="21" spans="1:26" s="11" customFormat="1" ht="15.75">
      <c r="A21" s="4"/>
      <c r="B21" s="77" t="s">
        <v>142</v>
      </c>
      <c r="C21" s="77"/>
      <c r="D21" s="77"/>
      <c r="E21" s="77"/>
      <c r="F21" s="78"/>
      <c r="G21" s="77"/>
      <c r="H21" s="77"/>
      <c r="I21" s="77"/>
      <c r="J21" s="77"/>
      <c r="K21" s="77"/>
      <c r="L21" s="77"/>
      <c r="M21" s="77"/>
      <c r="N21" s="77"/>
      <c r="O21" s="77"/>
      <c r="P21" s="81">
        <f>P19*(1+D11)/(D10-D11)</f>
        <v>643143.77157534263</v>
      </c>
      <c r="Q21" s="67"/>
      <c r="R21" s="80"/>
      <c r="S21" s="80"/>
      <c r="T21" s="3"/>
      <c r="U21" s="3"/>
      <c r="V21" s="3"/>
      <c r="W21" s="3"/>
      <c r="X21" s="3"/>
      <c r="Y21" s="3"/>
      <c r="Z21" s="3"/>
    </row>
    <row r="22" spans="1:26" ht="15.75">
      <c r="A22" s="4" t="s">
        <v>143</v>
      </c>
      <c r="B22" s="68"/>
      <c r="C22" s="68"/>
      <c r="D22" s="68"/>
      <c r="E22" s="67"/>
      <c r="F22" s="74"/>
      <c r="G22" s="67"/>
      <c r="H22" s="67"/>
      <c r="I22" s="67"/>
      <c r="J22" s="67"/>
      <c r="K22" s="67"/>
      <c r="L22" s="67"/>
      <c r="M22" s="67"/>
      <c r="N22" s="67"/>
      <c r="O22" s="67"/>
      <c r="P22" s="68"/>
      <c r="Q22" s="68"/>
      <c r="R22" s="69"/>
      <c r="S22" s="69"/>
      <c r="T22" s="2"/>
      <c r="U22" s="2"/>
      <c r="V22" s="2"/>
      <c r="W22" s="2"/>
      <c r="X22" s="2"/>
      <c r="Y22" s="2"/>
      <c r="Z22" s="2"/>
    </row>
    <row r="23" spans="1:26" ht="15">
      <c r="A23" s="6"/>
      <c r="B23" s="68" t="s">
        <v>144</v>
      </c>
      <c r="C23" s="68"/>
      <c r="D23" s="68"/>
      <c r="E23" s="68"/>
      <c r="F23" s="76"/>
      <c r="G23" s="68"/>
      <c r="H23" s="68"/>
      <c r="I23" s="68"/>
      <c r="J23" s="68"/>
      <c r="K23" s="68"/>
      <c r="L23" s="82"/>
      <c r="M23" s="73"/>
      <c r="N23" s="73"/>
      <c r="O23" s="73"/>
      <c r="P23" s="73"/>
      <c r="Q23" s="68"/>
      <c r="R23" s="69"/>
      <c r="S23" s="69"/>
      <c r="T23" s="2"/>
      <c r="U23" s="2"/>
      <c r="V23" s="2"/>
      <c r="W23" s="2"/>
      <c r="X23" s="2"/>
      <c r="Y23" s="2"/>
      <c r="Z23" s="2"/>
    </row>
    <row r="24" spans="1:26" s="11" customFormat="1" ht="15.75">
      <c r="A24" s="4"/>
      <c r="B24" s="67" t="s">
        <v>145</v>
      </c>
      <c r="C24" s="67"/>
      <c r="D24" s="67"/>
      <c r="E24" s="67"/>
      <c r="F24" s="74"/>
      <c r="G24" s="67"/>
      <c r="H24" s="67"/>
      <c r="I24" s="67"/>
      <c r="J24" s="67"/>
      <c r="K24" s="67"/>
      <c r="L24" s="83"/>
      <c r="M24" s="83"/>
      <c r="N24" s="83"/>
      <c r="O24" s="83"/>
      <c r="P24" s="83"/>
      <c r="Q24" s="67"/>
      <c r="R24" s="80"/>
      <c r="S24" s="80"/>
      <c r="T24" s="3"/>
      <c r="U24" s="3"/>
      <c r="V24" s="3"/>
      <c r="W24" s="3"/>
      <c r="X24" s="3"/>
      <c r="Y24" s="3"/>
      <c r="Z24" s="3"/>
    </row>
    <row r="25" spans="1:26" ht="15.75">
      <c r="A25" s="4" t="s">
        <v>146</v>
      </c>
      <c r="B25" s="68"/>
      <c r="C25" s="68"/>
      <c r="D25" s="68"/>
      <c r="E25" s="67"/>
      <c r="F25" s="74"/>
      <c r="G25" s="67"/>
      <c r="H25" s="67"/>
      <c r="I25" s="67"/>
      <c r="J25" s="67"/>
      <c r="K25" s="67"/>
      <c r="L25" s="67">
        <v>1</v>
      </c>
      <c r="M25" s="67">
        <v>2</v>
      </c>
      <c r="N25" s="67">
        <v>3</v>
      </c>
      <c r="O25" s="67">
        <v>4</v>
      </c>
      <c r="P25" s="68">
        <v>5</v>
      </c>
      <c r="Q25" s="68"/>
      <c r="R25" s="69"/>
      <c r="S25" s="69"/>
      <c r="T25" s="2"/>
      <c r="U25" s="2"/>
      <c r="V25" s="2"/>
      <c r="W25" s="2"/>
      <c r="X25" s="2"/>
      <c r="Y25" s="2"/>
      <c r="Z25" s="2"/>
    </row>
    <row r="26" spans="1:26" ht="15">
      <c r="A26" s="6"/>
      <c r="B26" s="84" t="s">
        <v>147</v>
      </c>
      <c r="C26" s="84"/>
      <c r="D26" s="84"/>
      <c r="E26" s="84"/>
      <c r="F26" s="85"/>
      <c r="G26" s="84"/>
      <c r="H26" s="84"/>
      <c r="I26" s="84"/>
      <c r="J26" s="84"/>
      <c r="K26" s="84"/>
      <c r="L26" s="86">
        <f>1/(1+$D$10)^L25</f>
        <v>0.89285714285714279</v>
      </c>
      <c r="M26" s="86">
        <f t="shared" ref="M26:P26" si="2">1/(1+$D$10)^M25</f>
        <v>0.79719387755102034</v>
      </c>
      <c r="N26" s="86">
        <f t="shared" si="2"/>
        <v>0.71178024781341087</v>
      </c>
      <c r="O26" s="86">
        <f t="shared" si="2"/>
        <v>0.63551807840483121</v>
      </c>
      <c r="P26" s="86">
        <f t="shared" si="2"/>
        <v>0.56742685571859919</v>
      </c>
      <c r="Q26" s="68"/>
      <c r="R26" s="69"/>
      <c r="S26" s="69"/>
      <c r="T26" s="2"/>
      <c r="U26" s="2"/>
      <c r="V26" s="2"/>
      <c r="W26" s="2"/>
      <c r="X26" s="2"/>
      <c r="Y26" s="2"/>
      <c r="Z26" s="2"/>
    </row>
    <row r="27" spans="1:26" ht="15">
      <c r="A27" s="6"/>
      <c r="B27" s="84" t="s">
        <v>148</v>
      </c>
      <c r="C27" s="68"/>
      <c r="D27" s="84"/>
      <c r="E27" s="84"/>
      <c r="F27" s="85"/>
      <c r="G27" s="84"/>
      <c r="H27" s="84"/>
      <c r="I27" s="84"/>
      <c r="J27" s="84"/>
      <c r="K27" s="84"/>
      <c r="L27" s="84">
        <f>L19*L26</f>
        <v>16674.318091874997</v>
      </c>
      <c r="M27" s="84">
        <f t="shared" ref="M27:P27" si="3">M19*M26</f>
        <v>19313.254197305483</v>
      </c>
      <c r="N27" s="84">
        <f t="shared" si="3"/>
        <v>22240.069953762748</v>
      </c>
      <c r="O27" s="84">
        <f t="shared" si="3"/>
        <v>21697.503613809993</v>
      </c>
      <c r="P27" s="84">
        <f t="shared" si="3"/>
        <v>24329.136538666506</v>
      </c>
      <c r="Q27" s="68"/>
      <c r="R27" s="69"/>
      <c r="S27" s="69"/>
      <c r="T27" s="2"/>
      <c r="U27" s="2"/>
      <c r="V27" s="2"/>
      <c r="W27" s="2"/>
      <c r="X27" s="2"/>
      <c r="Y27" s="2"/>
      <c r="Z27" s="2"/>
    </row>
    <row r="28" spans="1:26" s="11" customFormat="1" ht="15.75">
      <c r="A28" s="4"/>
      <c r="B28" s="67"/>
      <c r="C28" s="77" t="s">
        <v>146</v>
      </c>
      <c r="D28" s="77"/>
      <c r="E28" s="77"/>
      <c r="F28" s="78"/>
      <c r="G28" s="77"/>
      <c r="H28" s="77"/>
      <c r="I28" s="77"/>
      <c r="J28" s="77"/>
      <c r="K28" s="81">
        <f>SUM(L27:P27,P28)</f>
        <v>469191.33047541737</v>
      </c>
      <c r="L28" s="67"/>
      <c r="M28" s="67"/>
      <c r="N28" s="67"/>
      <c r="O28" s="67"/>
      <c r="P28" s="67">
        <f>P21*P26</f>
        <v>364937.04807999765</v>
      </c>
      <c r="Q28" s="67"/>
      <c r="R28" s="80"/>
      <c r="S28" s="80"/>
      <c r="T28" s="3"/>
      <c r="U28" s="3"/>
      <c r="V28" s="3"/>
      <c r="W28" s="3"/>
      <c r="X28" s="3"/>
      <c r="Y28" s="3"/>
      <c r="Z28" s="3"/>
    </row>
    <row r="29" spans="1:26" ht="15.75">
      <c r="A29" s="4" t="s">
        <v>149</v>
      </c>
      <c r="B29" s="68"/>
      <c r="C29" s="68"/>
      <c r="D29" s="68"/>
      <c r="E29" s="67"/>
      <c r="F29" s="74"/>
      <c r="G29" s="67"/>
      <c r="H29" s="67"/>
      <c r="I29" s="67"/>
      <c r="J29" s="67"/>
      <c r="K29" s="67"/>
      <c r="L29" s="67"/>
      <c r="M29" s="87" t="s">
        <v>606</v>
      </c>
      <c r="N29" s="67"/>
      <c r="O29" s="67"/>
      <c r="P29" s="68"/>
      <c r="Q29" s="68"/>
      <c r="R29" s="69"/>
      <c r="S29" s="69"/>
      <c r="T29" s="2"/>
      <c r="U29" s="2"/>
      <c r="V29" s="2"/>
      <c r="W29" s="2"/>
      <c r="X29" s="2"/>
      <c r="Y29" s="2"/>
      <c r="Z29" s="2"/>
    </row>
    <row r="30" spans="1:26" s="11" customFormat="1" ht="47.25">
      <c r="A30" s="4"/>
      <c r="B30" s="88" t="s">
        <v>150</v>
      </c>
      <c r="C30" s="89" t="s">
        <v>151</v>
      </c>
      <c r="D30" s="67"/>
      <c r="E30" s="67"/>
      <c r="F30" s="74"/>
      <c r="G30" s="67"/>
      <c r="H30" s="67"/>
      <c r="I30" s="67"/>
      <c r="J30" s="67"/>
      <c r="K30" s="90"/>
      <c r="L30" s="67"/>
      <c r="M30" s="67"/>
      <c r="N30" s="67"/>
      <c r="O30" s="67"/>
      <c r="P30" s="67"/>
      <c r="Q30" s="67"/>
      <c r="R30" s="80"/>
      <c r="S30" s="80"/>
      <c r="T30" s="3"/>
      <c r="U30" s="3"/>
      <c r="V30" s="3"/>
      <c r="W30" s="3"/>
      <c r="X30" s="3"/>
      <c r="Y30" s="3"/>
      <c r="Z30" s="3"/>
    </row>
    <row r="31" spans="1:26" ht="15">
      <c r="A31" s="6"/>
      <c r="B31" s="71"/>
      <c r="C31" s="68" t="s">
        <v>152</v>
      </c>
      <c r="D31" s="68"/>
      <c r="E31" s="68"/>
      <c r="F31" s="76"/>
      <c r="G31" s="68"/>
      <c r="H31" s="68"/>
      <c r="I31" s="68"/>
      <c r="J31" s="68"/>
      <c r="K31" s="73">
        <f>'Balance Sheet '!J24</f>
        <v>6031</v>
      </c>
      <c r="L31" s="68"/>
      <c r="M31" s="68"/>
      <c r="N31" s="68"/>
      <c r="O31" s="68"/>
      <c r="P31" s="68"/>
      <c r="Q31" s="68"/>
      <c r="R31" s="69"/>
      <c r="S31" s="69"/>
      <c r="T31" s="2"/>
      <c r="U31" s="2"/>
      <c r="V31" s="2"/>
      <c r="W31" s="2"/>
      <c r="X31" s="2"/>
      <c r="Y31" s="2"/>
      <c r="Z31" s="2"/>
    </row>
    <row r="32" spans="1:26" ht="15">
      <c r="A32" s="6"/>
      <c r="B32" s="71"/>
      <c r="C32" s="68" t="s">
        <v>153</v>
      </c>
      <c r="D32" s="68"/>
      <c r="E32" s="68"/>
      <c r="F32" s="76"/>
      <c r="G32" s="68"/>
      <c r="H32" s="68"/>
      <c r="I32" s="68"/>
      <c r="J32" s="68"/>
      <c r="K32" s="73"/>
      <c r="L32" s="68"/>
      <c r="M32" s="68"/>
      <c r="N32" s="68"/>
      <c r="O32" s="68"/>
      <c r="P32" s="68"/>
      <c r="Q32" s="68"/>
      <c r="R32" s="69"/>
      <c r="S32" s="69"/>
      <c r="T32" s="2"/>
      <c r="U32" s="2"/>
      <c r="V32" s="2"/>
      <c r="W32" s="2"/>
      <c r="X32" s="2"/>
      <c r="Y32" s="2"/>
      <c r="Z32" s="2"/>
    </row>
    <row r="33" spans="1:26" s="11" customFormat="1" ht="63">
      <c r="A33" s="4"/>
      <c r="B33" s="88" t="s">
        <v>154</v>
      </c>
      <c r="C33" s="89" t="s">
        <v>155</v>
      </c>
      <c r="D33" s="67"/>
      <c r="E33" s="67"/>
      <c r="F33" s="74"/>
      <c r="G33" s="67"/>
      <c r="H33" s="67"/>
      <c r="I33" s="67"/>
      <c r="J33" s="67"/>
      <c r="K33" s="90">
        <v>1369</v>
      </c>
      <c r="L33" s="67"/>
      <c r="M33" s="67"/>
      <c r="N33" s="67"/>
      <c r="O33" s="67"/>
      <c r="P33" s="67"/>
      <c r="Q33" s="67"/>
      <c r="R33" s="80"/>
      <c r="S33" s="80"/>
      <c r="T33" s="3"/>
      <c r="U33" s="3"/>
      <c r="V33" s="3"/>
      <c r="W33" s="3"/>
      <c r="X33" s="3"/>
      <c r="Y33" s="3"/>
      <c r="Z33" s="3"/>
    </row>
    <row r="34" spans="1:26" ht="15">
      <c r="A34" s="6"/>
      <c r="B34" s="71"/>
      <c r="C34" s="68" t="s">
        <v>156</v>
      </c>
      <c r="D34" s="68"/>
      <c r="E34" s="68"/>
      <c r="F34" s="76"/>
      <c r="G34" s="68"/>
      <c r="H34" s="68"/>
      <c r="I34" s="68"/>
      <c r="J34" s="68"/>
      <c r="K34" s="73"/>
      <c r="L34" s="68"/>
      <c r="M34" s="68"/>
      <c r="N34" s="68"/>
      <c r="O34" s="68"/>
      <c r="P34" s="68"/>
      <c r="Q34" s="68"/>
      <c r="R34" s="69"/>
      <c r="S34" s="69"/>
      <c r="T34" s="2"/>
      <c r="U34" s="2"/>
      <c r="V34" s="2"/>
      <c r="W34" s="2"/>
      <c r="X34" s="2"/>
      <c r="Y34" s="2"/>
      <c r="Z34" s="2"/>
    </row>
    <row r="35" spans="1:26" ht="15">
      <c r="A35" s="6"/>
      <c r="B35" s="71"/>
      <c r="C35" s="68" t="s">
        <v>157</v>
      </c>
      <c r="D35" s="68"/>
      <c r="E35" s="68"/>
      <c r="F35" s="76"/>
      <c r="G35" s="68"/>
      <c r="H35" s="68"/>
      <c r="I35" s="68"/>
      <c r="J35" s="68"/>
      <c r="K35" s="73"/>
      <c r="L35" s="68"/>
      <c r="M35" s="68"/>
      <c r="N35" s="68"/>
      <c r="O35" s="68"/>
      <c r="P35" s="68"/>
      <c r="Q35" s="68"/>
      <c r="R35" s="69"/>
      <c r="S35" s="69"/>
      <c r="T35" s="2"/>
      <c r="U35" s="2"/>
      <c r="V35" s="2"/>
      <c r="W35" s="2"/>
      <c r="X35" s="2"/>
      <c r="Y35" s="2"/>
      <c r="Z35" s="2"/>
    </row>
    <row r="36" spans="1:26" s="11" customFormat="1" ht="48.75" customHeight="1">
      <c r="A36" s="4"/>
      <c r="B36" s="88" t="s">
        <v>158</v>
      </c>
      <c r="C36" s="89" t="s">
        <v>159</v>
      </c>
      <c r="D36" s="67"/>
      <c r="E36" s="67"/>
      <c r="F36" s="74"/>
      <c r="G36" s="67"/>
      <c r="H36" s="67"/>
      <c r="I36" s="67"/>
      <c r="J36" s="67"/>
      <c r="K36" s="73"/>
      <c r="L36" s="67"/>
      <c r="M36" s="91"/>
      <c r="N36" s="67"/>
      <c r="O36" s="67"/>
      <c r="P36" s="67"/>
      <c r="Q36" s="67"/>
      <c r="R36" s="80"/>
      <c r="S36" s="80"/>
      <c r="T36" s="3"/>
      <c r="U36" s="3"/>
      <c r="V36" s="3"/>
      <c r="W36" s="3"/>
      <c r="X36" s="3"/>
      <c r="Y36" s="3"/>
      <c r="Z36" s="3"/>
    </row>
    <row r="37" spans="1:26" ht="15.75">
      <c r="A37" s="6"/>
      <c r="B37" s="92" t="s">
        <v>160</v>
      </c>
      <c r="C37" s="67" t="s">
        <v>161</v>
      </c>
      <c r="D37" s="68"/>
      <c r="E37" s="68"/>
      <c r="F37" s="76"/>
      <c r="G37" s="68"/>
      <c r="H37" s="68"/>
      <c r="I37" s="68"/>
      <c r="J37" s="68"/>
      <c r="K37" s="73"/>
      <c r="L37" s="67"/>
      <c r="M37" s="68"/>
      <c r="N37" s="68"/>
      <c r="O37" s="68"/>
      <c r="P37" s="68"/>
      <c r="Q37" s="68"/>
      <c r="R37" s="69"/>
      <c r="S37" s="69"/>
      <c r="T37" s="2"/>
      <c r="U37" s="2"/>
      <c r="V37" s="2"/>
      <c r="W37" s="2"/>
      <c r="X37" s="2"/>
      <c r="Y37" s="2"/>
      <c r="Z37" s="2"/>
    </row>
    <row r="38" spans="1:26" ht="15.75">
      <c r="A38" s="6"/>
      <c r="B38" s="92" t="s">
        <v>162</v>
      </c>
      <c r="C38" s="67" t="s">
        <v>163</v>
      </c>
      <c r="D38" s="68"/>
      <c r="E38" s="68"/>
      <c r="F38" s="76"/>
      <c r="G38" s="68"/>
      <c r="H38" s="68"/>
      <c r="I38" s="68"/>
      <c r="J38" s="68"/>
      <c r="K38" s="73"/>
      <c r="L38" s="67"/>
      <c r="M38" s="68"/>
      <c r="N38" s="68"/>
      <c r="O38" s="68"/>
      <c r="P38" s="68"/>
      <c r="Q38" s="68"/>
      <c r="R38" s="69"/>
      <c r="S38" s="69"/>
      <c r="T38" s="2"/>
      <c r="U38" s="2"/>
      <c r="V38" s="2"/>
      <c r="W38" s="2"/>
      <c r="X38" s="2"/>
      <c r="Y38" s="2"/>
      <c r="Z38" s="2"/>
    </row>
    <row r="39" spans="1:26" s="11" customFormat="1" ht="15.75">
      <c r="A39" s="4"/>
      <c r="B39" s="93"/>
      <c r="C39" s="77" t="s">
        <v>149</v>
      </c>
      <c r="D39" s="77"/>
      <c r="E39" s="77"/>
      <c r="F39" s="78"/>
      <c r="G39" s="77"/>
      <c r="H39" s="77"/>
      <c r="I39" s="77"/>
      <c r="J39" s="77"/>
      <c r="K39" s="81">
        <f>K28+K31-K33</f>
        <v>473853.33047541737</v>
      </c>
      <c r="L39" s="67"/>
      <c r="M39" s="67"/>
      <c r="N39" s="67"/>
      <c r="O39" s="67"/>
      <c r="P39" s="67"/>
      <c r="Q39" s="67"/>
      <c r="R39" s="80"/>
      <c r="S39" s="80"/>
      <c r="T39" s="3"/>
      <c r="U39" s="3"/>
      <c r="V39" s="3"/>
      <c r="W39" s="3"/>
      <c r="X39" s="3"/>
      <c r="Y39" s="3"/>
      <c r="Z39" s="3"/>
    </row>
    <row r="40" spans="1:26" ht="15.75">
      <c r="A40" s="6"/>
      <c r="B40" s="71"/>
      <c r="C40" s="68" t="s">
        <v>164</v>
      </c>
      <c r="D40" s="94" t="s">
        <v>584</v>
      </c>
      <c r="E40" s="68"/>
      <c r="F40" s="76"/>
      <c r="G40" s="94">
        <v>459</v>
      </c>
      <c r="H40" s="68"/>
      <c r="I40" s="68"/>
      <c r="J40" s="68"/>
      <c r="K40" s="95"/>
      <c r="L40" s="67"/>
      <c r="M40" s="68"/>
      <c r="N40" s="68"/>
      <c r="O40" s="68"/>
      <c r="P40" s="68"/>
      <c r="Q40" s="68"/>
      <c r="R40" s="69"/>
      <c r="S40" s="69"/>
      <c r="T40" s="2"/>
      <c r="U40" s="2"/>
      <c r="V40" s="2"/>
      <c r="W40" s="2"/>
      <c r="X40" s="2"/>
      <c r="Y40" s="2"/>
      <c r="Z40" s="2"/>
    </row>
    <row r="41" spans="1:26" s="11" customFormat="1" ht="15.75">
      <c r="A41" s="4"/>
      <c r="B41" s="93"/>
      <c r="C41" s="77" t="s">
        <v>607</v>
      </c>
      <c r="D41" s="77"/>
      <c r="E41" s="77"/>
      <c r="F41" s="78"/>
      <c r="G41" s="77"/>
      <c r="H41" s="77"/>
      <c r="I41" s="77"/>
      <c r="J41" s="77"/>
      <c r="K41" s="81">
        <f>K39/G40</f>
        <v>1032.3601971141991</v>
      </c>
      <c r="L41" s="67"/>
      <c r="M41" s="67"/>
      <c r="N41" s="67"/>
      <c r="O41" s="67"/>
      <c r="P41" s="67"/>
      <c r="Q41" s="67"/>
      <c r="R41" s="80"/>
      <c r="S41" s="80"/>
      <c r="T41" s="3"/>
      <c r="U41" s="3"/>
      <c r="V41" s="3"/>
      <c r="W41" s="3"/>
      <c r="X41" s="3"/>
      <c r="Y41" s="3"/>
      <c r="Z41" s="3"/>
    </row>
    <row r="42" spans="1:26" ht="15.75">
      <c r="A42" s="3" t="s">
        <v>165</v>
      </c>
      <c r="B42" s="69"/>
      <c r="C42" s="69"/>
      <c r="D42" s="69"/>
      <c r="E42" s="67"/>
      <c r="F42" s="96"/>
      <c r="G42" s="80"/>
      <c r="H42" s="80"/>
      <c r="I42" s="80"/>
      <c r="J42" s="80"/>
      <c r="K42" s="80"/>
      <c r="L42" s="80"/>
      <c r="M42" s="80"/>
      <c r="N42" s="80"/>
      <c r="O42" s="80"/>
      <c r="P42" s="69"/>
      <c r="Q42" s="69"/>
      <c r="R42" s="69"/>
      <c r="S42" s="69"/>
      <c r="T42" s="2"/>
      <c r="U42" s="2"/>
      <c r="V42" s="2"/>
      <c r="W42" s="2"/>
      <c r="X42" s="2"/>
      <c r="Y42" s="2"/>
      <c r="Z42" s="2"/>
    </row>
    <row r="43" spans="1:26" s="11" customFormat="1" ht="15.75">
      <c r="A43" s="3"/>
      <c r="B43" s="91" t="s">
        <v>166</v>
      </c>
      <c r="C43" s="91"/>
      <c r="D43" s="91"/>
      <c r="E43" s="91"/>
      <c r="F43" s="97"/>
      <c r="G43" s="91"/>
      <c r="H43" s="91"/>
      <c r="I43" s="80"/>
      <c r="J43" s="80"/>
      <c r="K43" s="80"/>
      <c r="L43" s="98" t="s">
        <v>167</v>
      </c>
      <c r="M43" s="98"/>
      <c r="N43" s="98"/>
      <c r="O43" s="98"/>
      <c r="P43" s="98"/>
      <c r="Q43" s="80"/>
      <c r="R43" s="80"/>
      <c r="S43" s="80"/>
      <c r="T43" s="3"/>
      <c r="U43" s="3"/>
      <c r="V43" s="3"/>
      <c r="W43" s="3"/>
      <c r="X43" s="3"/>
      <c r="Y43" s="3"/>
      <c r="Z43" s="3"/>
    </row>
    <row r="44" spans="1:26" s="11" customFormat="1" ht="15.75">
      <c r="A44" s="3"/>
      <c r="B44" s="99"/>
      <c r="C44" s="69" t="s">
        <v>168</v>
      </c>
      <c r="D44" s="69"/>
      <c r="E44" s="80" t="s">
        <v>169</v>
      </c>
      <c r="F44" s="100"/>
      <c r="G44" s="80"/>
      <c r="H44" s="91"/>
      <c r="I44" s="80"/>
      <c r="J44" s="80"/>
      <c r="K44" s="101">
        <f>K39</f>
        <v>473853.33047541737</v>
      </c>
      <c r="L44" s="102">
        <f>4%</f>
        <v>0.04</v>
      </c>
      <c r="M44" s="102">
        <f>L44+0.5%</f>
        <v>4.4999999999999998E-2</v>
      </c>
      <c r="N44" s="102">
        <f t="shared" ref="N44:P44" si="4">M44+0.5%</f>
        <v>4.9999999999999996E-2</v>
      </c>
      <c r="O44" s="102">
        <f t="shared" si="4"/>
        <v>5.4999999999999993E-2</v>
      </c>
      <c r="P44" s="102">
        <f t="shared" si="4"/>
        <v>5.9999999999999991E-2</v>
      </c>
      <c r="Q44" s="80"/>
      <c r="R44" s="80"/>
      <c r="S44" s="80"/>
      <c r="T44" s="3"/>
      <c r="U44" s="3"/>
      <c r="V44" s="3"/>
      <c r="W44" s="3"/>
      <c r="X44" s="3"/>
      <c r="Y44" s="3"/>
      <c r="Z44" s="3"/>
    </row>
    <row r="45" spans="1:26" s="11" customFormat="1" ht="15" customHeight="1">
      <c r="A45" s="3"/>
      <c r="B45" s="99"/>
      <c r="C45" s="448" t="s">
        <v>170</v>
      </c>
      <c r="D45" s="69"/>
      <c r="E45" s="80" t="s">
        <v>171</v>
      </c>
      <c r="F45" s="100"/>
      <c r="G45" s="80"/>
      <c r="H45" s="91"/>
      <c r="I45" s="80"/>
      <c r="J45" s="98" t="s">
        <v>136</v>
      </c>
      <c r="K45" s="102">
        <f>K46-0.5%</f>
        <v>0.11499999999999999</v>
      </c>
      <c r="L45" s="103">
        <f t="dataTable" ref="L45:P49" dt2D="1" dtr="1" r1="D11" r2="D10" ca="1"/>
        <v>455403.81117854192</v>
      </c>
      <c r="M45" s="103">
        <v>481823.52083001274</v>
      </c>
      <c r="N45" s="103">
        <v>512307.80119709455</v>
      </c>
      <c r="O45" s="103">
        <v>547872.79495868995</v>
      </c>
      <c r="P45" s="103">
        <v>589904.15122239373</v>
      </c>
      <c r="Q45" s="80"/>
      <c r="R45" s="80"/>
      <c r="S45" s="80"/>
      <c r="T45" s="3"/>
      <c r="U45" s="3"/>
      <c r="V45" s="3"/>
      <c r="W45" s="3"/>
      <c r="X45" s="3"/>
      <c r="Y45" s="3"/>
      <c r="Z45" s="3"/>
    </row>
    <row r="46" spans="1:26" ht="15" customHeight="1">
      <c r="A46" s="2"/>
      <c r="B46" s="99"/>
      <c r="C46" s="448"/>
      <c r="D46" s="69"/>
      <c r="E46" s="91" t="s">
        <v>585</v>
      </c>
      <c r="F46" s="97"/>
      <c r="G46" s="104"/>
      <c r="H46" s="91"/>
      <c r="I46" s="80"/>
      <c r="J46" s="98"/>
      <c r="K46" s="102">
        <f>D10</f>
        <v>0.12</v>
      </c>
      <c r="L46" s="105">
        <v>455403.81117854192</v>
      </c>
      <c r="M46" s="105">
        <v>481823.52083001274</v>
      </c>
      <c r="N46" s="105">
        <v>512307.80119709455</v>
      </c>
      <c r="O46" s="105">
        <v>547872.79495868995</v>
      </c>
      <c r="P46" s="105">
        <v>589904.15122239373</v>
      </c>
      <c r="Q46" s="69"/>
      <c r="R46" s="69"/>
      <c r="S46" s="69"/>
      <c r="T46" s="2"/>
      <c r="U46" s="2"/>
      <c r="V46" s="2"/>
      <c r="W46" s="2"/>
      <c r="X46" s="2"/>
      <c r="Y46" s="2"/>
      <c r="Z46" s="2"/>
    </row>
    <row r="47" spans="1:26" ht="15.75">
      <c r="A47" s="2"/>
      <c r="B47" s="69"/>
      <c r="C47" s="448"/>
      <c r="D47" s="106"/>
      <c r="E47" s="107"/>
      <c r="F47" s="108"/>
      <c r="G47" s="107"/>
      <c r="H47" s="107"/>
      <c r="I47" s="69"/>
      <c r="J47" s="98"/>
      <c r="K47" s="102">
        <f t="shared" ref="K47:K49" si="5">K46+0.5%</f>
        <v>0.125</v>
      </c>
      <c r="L47" s="105">
        <v>425195.05739808426</v>
      </c>
      <c r="M47" s="105">
        <v>447902.25150083972</v>
      </c>
      <c r="N47" s="105">
        <v>473853.33047541732</v>
      </c>
      <c r="O47" s="105">
        <v>503796.88313839142</v>
      </c>
      <c r="P47" s="105">
        <v>538731.02791186119</v>
      </c>
      <c r="Q47" s="69"/>
      <c r="R47" s="69"/>
      <c r="S47" s="69"/>
      <c r="T47" s="2"/>
      <c r="U47" s="2"/>
      <c r="V47" s="2"/>
      <c r="W47" s="2"/>
      <c r="X47" s="2"/>
      <c r="Y47" s="2"/>
      <c r="Z47" s="2"/>
    </row>
    <row r="48" spans="1:26" ht="15.75">
      <c r="A48" s="2"/>
      <c r="B48" s="69"/>
      <c r="C48" s="106"/>
      <c r="D48" s="69"/>
      <c r="E48" s="107"/>
      <c r="F48" s="108"/>
      <c r="G48" s="107"/>
      <c r="H48" s="80"/>
      <c r="I48" s="69"/>
      <c r="J48" s="98"/>
      <c r="K48" s="102">
        <f t="shared" si="5"/>
        <v>0.13</v>
      </c>
      <c r="L48" s="105">
        <v>374942.87343165837</v>
      </c>
      <c r="M48" s="105">
        <v>392130.32962762809</v>
      </c>
      <c r="N48" s="105">
        <v>411466.21784809395</v>
      </c>
      <c r="O48" s="105">
        <v>433380.22449795529</v>
      </c>
      <c r="P48" s="105">
        <v>458424.80352636834</v>
      </c>
      <c r="Q48" s="69"/>
      <c r="R48" s="69"/>
      <c r="S48" s="69"/>
      <c r="T48" s="2"/>
      <c r="U48" s="2"/>
      <c r="V48" s="2"/>
      <c r="W48" s="2"/>
      <c r="X48" s="2"/>
      <c r="Y48" s="2"/>
      <c r="Z48" s="2"/>
    </row>
    <row r="49" spans="1:26" ht="15.75">
      <c r="A49" s="2"/>
      <c r="B49" s="107"/>
      <c r="C49" s="109"/>
      <c r="D49" s="107"/>
      <c r="E49" s="107"/>
      <c r="F49" s="108"/>
      <c r="G49" s="107"/>
      <c r="H49" s="80"/>
      <c r="I49" s="69"/>
      <c r="J49" s="98"/>
      <c r="K49" s="102">
        <f t="shared" si="5"/>
        <v>0.13500000000000001</v>
      </c>
      <c r="L49" s="105">
        <v>317707.53935153165</v>
      </c>
      <c r="M49" s="105">
        <v>329586.42133502697</v>
      </c>
      <c r="N49" s="105">
        <v>342715.71194836387</v>
      </c>
      <c r="O49" s="105">
        <v>357303.81262984936</v>
      </c>
      <c r="P49" s="105">
        <v>373608.16045033321</v>
      </c>
      <c r="Q49" s="69"/>
      <c r="R49" s="69"/>
      <c r="S49" s="69"/>
      <c r="T49" s="2"/>
      <c r="U49" s="2"/>
      <c r="V49" s="2"/>
      <c r="W49" s="2"/>
      <c r="X49" s="2"/>
      <c r="Y49" s="2"/>
      <c r="Z49" s="2"/>
    </row>
    <row r="50" spans="1:26" ht="15.75">
      <c r="A50" s="2"/>
      <c r="B50" s="107"/>
      <c r="C50" s="109"/>
      <c r="D50" s="107"/>
      <c r="E50" s="107"/>
      <c r="F50" s="108"/>
      <c r="G50" s="107"/>
      <c r="H50" s="110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2"/>
      <c r="U50" s="2"/>
      <c r="V50" s="2"/>
      <c r="W50" s="2"/>
      <c r="X50" s="2"/>
      <c r="Y50" s="2"/>
      <c r="Z50" s="2"/>
    </row>
    <row r="51" spans="1:26" ht="15">
      <c r="A51" s="2"/>
      <c r="B51" s="107"/>
      <c r="C51" s="106"/>
      <c r="D51" s="107"/>
      <c r="E51" s="69"/>
      <c r="F51" s="111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2"/>
      <c r="U51" s="2"/>
      <c r="V51" s="2"/>
      <c r="W51" s="2"/>
      <c r="X51" s="2"/>
      <c r="Y51" s="2"/>
      <c r="Z51" s="2"/>
    </row>
    <row r="52" spans="1:26" ht="15.75">
      <c r="A52" s="2"/>
      <c r="B52" s="91" t="s">
        <v>172</v>
      </c>
      <c r="C52" s="109"/>
      <c r="D52" s="107"/>
      <c r="E52" s="107"/>
      <c r="F52" s="108"/>
      <c r="G52" s="107"/>
      <c r="H52" s="80"/>
      <c r="I52" s="69"/>
      <c r="J52" s="80"/>
      <c r="K52" s="80"/>
      <c r="L52" s="98" t="s">
        <v>167</v>
      </c>
      <c r="M52" s="98"/>
      <c r="N52" s="98"/>
      <c r="O52" s="98"/>
      <c r="P52" s="98"/>
      <c r="Q52" s="69"/>
      <c r="R52" s="69"/>
      <c r="S52" s="69"/>
      <c r="T52" s="2"/>
      <c r="U52" s="2"/>
      <c r="V52" s="2"/>
      <c r="W52" s="2"/>
      <c r="X52" s="2"/>
      <c r="Y52" s="2"/>
      <c r="Z52" s="2"/>
    </row>
    <row r="53" spans="1:26" ht="15.75">
      <c r="A53" s="2"/>
      <c r="B53" s="107"/>
      <c r="C53" s="112" t="s">
        <v>173</v>
      </c>
      <c r="D53" s="107"/>
      <c r="E53" s="80" t="s">
        <v>174</v>
      </c>
      <c r="F53" s="100"/>
      <c r="G53" s="80"/>
      <c r="H53" s="80"/>
      <c r="I53" s="69"/>
      <c r="J53" s="80"/>
      <c r="K53" s="113">
        <f>K41</f>
        <v>1032.3601971141991</v>
      </c>
      <c r="L53" s="102">
        <v>0.04</v>
      </c>
      <c r="M53" s="102">
        <f>L53+0.5%</f>
        <v>4.4999999999999998E-2</v>
      </c>
      <c r="N53" s="102">
        <f t="shared" ref="N53:P53" si="6">M53+0.5%</f>
        <v>4.9999999999999996E-2</v>
      </c>
      <c r="O53" s="102">
        <f t="shared" si="6"/>
        <v>5.4999999999999993E-2</v>
      </c>
      <c r="P53" s="102">
        <f t="shared" si="6"/>
        <v>5.9999999999999991E-2</v>
      </c>
      <c r="Q53" s="69"/>
      <c r="R53" s="69"/>
      <c r="S53" s="69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107"/>
      <c r="C54" s="448" t="s">
        <v>175</v>
      </c>
      <c r="D54" s="107"/>
      <c r="E54" s="80" t="s">
        <v>176</v>
      </c>
      <c r="F54" s="100" t="s">
        <v>586</v>
      </c>
      <c r="G54" s="80"/>
      <c r="H54" s="110"/>
      <c r="I54" s="69"/>
      <c r="J54" s="98" t="s">
        <v>136</v>
      </c>
      <c r="K54" s="102">
        <v>0.115</v>
      </c>
      <c r="L54" s="103">
        <f t="dataTable" ref="L54:P58" dt2D="1" dtr="1" r1="D11" r2="D10" ca="1"/>
        <v>992.16516596632187</v>
      </c>
      <c r="M54" s="103">
        <v>1049.724446252751</v>
      </c>
      <c r="N54" s="103">
        <v>1116.1390004293999</v>
      </c>
      <c r="O54" s="103">
        <v>1193.6226469688231</v>
      </c>
      <c r="P54" s="103">
        <v>1285.1942292426877</v>
      </c>
      <c r="Q54" s="69"/>
      <c r="R54" s="69"/>
      <c r="S54" s="69"/>
      <c r="T54" s="2"/>
      <c r="U54" s="2"/>
      <c r="V54" s="2"/>
      <c r="W54" s="2"/>
      <c r="X54" s="2"/>
      <c r="Y54" s="2"/>
      <c r="Z54" s="2"/>
    </row>
    <row r="55" spans="1:26" ht="15.75">
      <c r="A55" s="2"/>
      <c r="B55" s="69"/>
      <c r="C55" s="448"/>
      <c r="D55" s="110"/>
      <c r="E55" s="110"/>
      <c r="F55" s="114"/>
      <c r="G55" s="110"/>
      <c r="H55" s="110"/>
      <c r="I55" s="69"/>
      <c r="J55" s="98"/>
      <c r="K55" s="102">
        <f>K54+0.5%</f>
        <v>0.12000000000000001</v>
      </c>
      <c r="L55" s="105">
        <v>926.35088757752544</v>
      </c>
      <c r="M55" s="105">
        <v>975.8218986946398</v>
      </c>
      <c r="N55" s="105">
        <v>1032.3601971141989</v>
      </c>
      <c r="O55" s="105">
        <v>1097.5966952906131</v>
      </c>
      <c r="P55" s="105">
        <v>1173.7059431630962</v>
      </c>
      <c r="Q55" s="69"/>
      <c r="R55" s="69"/>
      <c r="S55" s="69"/>
      <c r="T55" s="2"/>
      <c r="U55" s="2"/>
      <c r="V55" s="2"/>
      <c r="W55" s="2"/>
      <c r="X55" s="2"/>
      <c r="Y55" s="2"/>
      <c r="Z55" s="2"/>
    </row>
    <row r="56" spans="1:26" ht="15.75">
      <c r="A56" s="2"/>
      <c r="B56" s="69"/>
      <c r="C56" s="448"/>
      <c r="D56" s="69"/>
      <c r="E56" s="69"/>
      <c r="F56" s="111"/>
      <c r="G56" s="69"/>
      <c r="H56" s="69"/>
      <c r="I56" s="69"/>
      <c r="J56" s="98"/>
      <c r="K56" s="102">
        <f t="shared" ref="K56:K58" si="7">K55+0.5%</f>
        <v>0.125</v>
      </c>
      <c r="L56" s="105">
        <v>868.35366232430033</v>
      </c>
      <c r="M56" s="105">
        <v>911.23369675319384</v>
      </c>
      <c r="N56" s="105">
        <v>959.83106910593983</v>
      </c>
      <c r="O56" s="105">
        <v>1015.3709232233638</v>
      </c>
      <c r="P56" s="105">
        <v>1079.4553702819303</v>
      </c>
      <c r="Q56" s="69"/>
      <c r="R56" s="69"/>
      <c r="S56" s="69"/>
      <c r="T56" s="2"/>
      <c r="U56" s="2"/>
      <c r="V56" s="2"/>
      <c r="W56" s="2"/>
      <c r="X56" s="2"/>
      <c r="Y56" s="2"/>
      <c r="Z56" s="2"/>
    </row>
    <row r="57" spans="1:26" ht="15.75">
      <c r="A57" s="2"/>
      <c r="B57" s="69"/>
      <c r="C57" s="99"/>
      <c r="D57" s="69"/>
      <c r="E57" s="69"/>
      <c r="F57" s="111"/>
      <c r="G57" s="69"/>
      <c r="H57" s="69"/>
      <c r="I57" s="69"/>
      <c r="J57" s="98"/>
      <c r="K57" s="102">
        <f t="shared" si="7"/>
        <v>0.13</v>
      </c>
      <c r="L57" s="105">
        <v>816.86900529773061</v>
      </c>
      <c r="M57" s="105">
        <v>854.31444363317667</v>
      </c>
      <c r="N57" s="105">
        <v>896.44056176055324</v>
      </c>
      <c r="O57" s="105">
        <v>944.18349563824677</v>
      </c>
      <c r="P57" s="105">
        <v>998.74684864132541</v>
      </c>
      <c r="Q57" s="69"/>
      <c r="R57" s="69"/>
      <c r="S57" s="69"/>
      <c r="T57" s="2"/>
      <c r="U57" s="2"/>
      <c r="V57" s="2"/>
      <c r="W57" s="2"/>
      <c r="X57" s="2"/>
      <c r="Y57" s="2"/>
      <c r="Z57" s="2"/>
    </row>
    <row r="58" spans="1:26" ht="15.75">
      <c r="A58" s="2"/>
      <c r="B58" s="69"/>
      <c r="C58" s="99"/>
      <c r="D58" s="69"/>
      <c r="E58" s="69"/>
      <c r="F58" s="111"/>
      <c r="G58" s="69"/>
      <c r="H58" s="69"/>
      <c r="I58" s="69"/>
      <c r="J58" s="98"/>
      <c r="K58" s="102">
        <f t="shared" si="7"/>
        <v>0.13500000000000001</v>
      </c>
      <c r="L58" s="105">
        <v>770.86710435400926</v>
      </c>
      <c r="M58" s="105">
        <v>803.78443175326072</v>
      </c>
      <c r="N58" s="105">
        <v>840.57438590536549</v>
      </c>
      <c r="O58" s="105">
        <v>881.96308432648289</v>
      </c>
      <c r="P58" s="105">
        <v>928.87027587041632</v>
      </c>
      <c r="Q58" s="69"/>
      <c r="R58" s="69"/>
      <c r="S58" s="69"/>
      <c r="T58" s="2"/>
      <c r="U58" s="2"/>
      <c r="V58" s="2"/>
      <c r="W58" s="2"/>
      <c r="X58" s="2"/>
      <c r="Y58" s="2"/>
      <c r="Z58" s="2"/>
    </row>
    <row r="59" spans="1:26" ht="15">
      <c r="A59" s="2"/>
      <c r="B59" s="69"/>
      <c r="C59" s="99"/>
      <c r="D59" s="69"/>
      <c r="E59" s="69"/>
      <c r="F59" s="111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2"/>
      <c r="U59" s="2"/>
      <c r="V59" s="2"/>
      <c r="W59" s="2"/>
      <c r="X59" s="2"/>
      <c r="Y59" s="2"/>
      <c r="Z59" s="2"/>
    </row>
    <row r="60" spans="1:26">
      <c r="A60" s="28"/>
      <c r="B60" s="28"/>
      <c r="C60" s="29"/>
      <c r="D60" s="28"/>
      <c r="E60" s="28"/>
      <c r="F60" s="30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"/>
      <c r="U60" s="2"/>
      <c r="V60" s="2"/>
      <c r="W60" s="2"/>
      <c r="X60" s="2"/>
      <c r="Y60" s="2"/>
      <c r="Z60" s="2"/>
    </row>
    <row r="61" spans="1:26" ht="30">
      <c r="A61" s="2"/>
      <c r="B61" s="2"/>
      <c r="C61" s="24"/>
      <c r="D61" s="2"/>
      <c r="E61" s="2"/>
      <c r="F61" s="13"/>
      <c r="G61" s="2"/>
      <c r="H61" s="2"/>
      <c r="I61" s="2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/>
      <c r="D62" s="2"/>
      <c r="E62" s="2"/>
      <c r="F62" s="13"/>
      <c r="G62" s="2"/>
      <c r="H62" s="2"/>
      <c r="I62" s="2"/>
      <c r="J62" s="2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/>
      <c r="D63" s="2"/>
      <c r="E63" s="2"/>
      <c r="F63" s="13"/>
      <c r="G63" s="2"/>
      <c r="H63" s="2"/>
      <c r="I63" s="2"/>
      <c r="J63" s="2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/>
      <c r="D64" s="2"/>
      <c r="E64" s="2"/>
      <c r="F64" s="13"/>
      <c r="G64" s="2"/>
      <c r="H64" s="2"/>
      <c r="I64" s="2"/>
      <c r="J64" s="2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/>
      <c r="D65" s="2"/>
      <c r="E65" s="2"/>
      <c r="F65" s="13"/>
      <c r="G65" s="2"/>
      <c r="H65" s="2"/>
      <c r="I65" s="2"/>
      <c r="J65" s="2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/>
      <c r="D66" s="2"/>
      <c r="E66" s="2"/>
      <c r="F66" s="13"/>
      <c r="G66" s="2"/>
      <c r="H66" s="2"/>
      <c r="I66" s="2"/>
      <c r="J66" s="2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>
      <c r="A67" s="2"/>
      <c r="B67" s="2"/>
      <c r="C67" s="21"/>
      <c r="D67" s="2"/>
      <c r="E67" s="2"/>
      <c r="F67" s="13"/>
      <c r="G67" s="2"/>
      <c r="H67" s="2"/>
      <c r="I67" s="2"/>
      <c r="J67" s="2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2"/>
      <c r="D68" s="2"/>
      <c r="E68" s="2"/>
      <c r="F68" s="13"/>
      <c r="G68" s="2"/>
      <c r="H68" s="2"/>
      <c r="I68" s="2"/>
      <c r="J68" s="2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2"/>
      <c r="D69" s="2"/>
      <c r="E69" s="2"/>
      <c r="F69" s="13"/>
      <c r="G69" s="2"/>
      <c r="H69" s="2"/>
      <c r="I69" s="2"/>
      <c r="J69" s="2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C70" s="22"/>
      <c r="J70" s="23"/>
    </row>
    <row r="71" spans="1:26">
      <c r="C71" s="22"/>
      <c r="J71" s="23"/>
    </row>
    <row r="72" spans="1:26">
      <c r="J72" s="22"/>
    </row>
    <row r="73" spans="1:26">
      <c r="J73" s="22"/>
    </row>
    <row r="74" spans="1:26" ht="30">
      <c r="C74" s="24"/>
      <c r="J74" s="22"/>
    </row>
    <row r="75" spans="1:26">
      <c r="C75"/>
      <c r="J75" s="22"/>
    </row>
    <row r="76" spans="1:26" ht="23.25">
      <c r="C76" s="25"/>
      <c r="J76" s="22"/>
    </row>
    <row r="77" spans="1:26">
      <c r="C77"/>
      <c r="J77" s="22"/>
    </row>
    <row r="78" spans="1:26">
      <c r="C78"/>
      <c r="J78" s="22"/>
    </row>
    <row r="79" spans="1:26">
      <c r="C79" s="22"/>
      <c r="J79" s="22"/>
    </row>
    <row r="80" spans="1:26" ht="15">
      <c r="C80" s="26"/>
      <c r="J80" s="23"/>
    </row>
    <row r="81" spans="3:10">
      <c r="C81" s="22"/>
      <c r="J81" s="23"/>
    </row>
    <row r="82" spans="3:10" ht="15">
      <c r="C82" s="26"/>
      <c r="J82" s="23"/>
    </row>
    <row r="83" spans="3:10">
      <c r="C83"/>
      <c r="J83" s="23"/>
    </row>
    <row r="84" spans="3:10">
      <c r="C84"/>
    </row>
    <row r="85" spans="3:10">
      <c r="C85"/>
    </row>
    <row r="86" spans="3:10">
      <c r="C86"/>
    </row>
    <row r="87" spans="3:10">
      <c r="C87" s="22"/>
    </row>
    <row r="88" spans="3:10">
      <c r="C88" s="22"/>
    </row>
    <row r="89" spans="3:10">
      <c r="C89" s="22"/>
    </row>
    <row r="90" spans="3:10">
      <c r="C90" s="22"/>
    </row>
    <row r="91" spans="3:10">
      <c r="C91"/>
    </row>
    <row r="92" spans="3:10" ht="23.25">
      <c r="C92" s="25"/>
    </row>
    <row r="93" spans="3:10">
      <c r="C93"/>
    </row>
    <row r="94" spans="3:10">
      <c r="C94"/>
    </row>
    <row r="95" spans="3:10">
      <c r="C95" s="22"/>
    </row>
    <row r="96" spans="3:10" ht="15">
      <c r="C96" s="26"/>
    </row>
    <row r="97" spans="3:11">
      <c r="C97"/>
    </row>
    <row r="98" spans="3:11">
      <c r="C98"/>
    </row>
    <row r="99" spans="3:11">
      <c r="C99"/>
    </row>
    <row r="100" spans="3:11">
      <c r="C100"/>
    </row>
    <row r="101" spans="3:11">
      <c r="C101"/>
    </row>
    <row r="102" spans="3:11" ht="30">
      <c r="C102" s="24"/>
      <c r="K102" s="24"/>
    </row>
    <row r="103" spans="3:11">
      <c r="C103" s="22"/>
      <c r="K103" s="22"/>
    </row>
    <row r="104" spans="3:11">
      <c r="C104" s="22"/>
      <c r="K104" s="22"/>
    </row>
    <row r="105" spans="3:11">
      <c r="C105" s="22"/>
      <c r="K105" s="22"/>
    </row>
    <row r="106" spans="3:11">
      <c r="C106" s="22"/>
      <c r="K106" s="22"/>
    </row>
    <row r="107" spans="3:11">
      <c r="C107" s="22"/>
      <c r="K107" s="22"/>
    </row>
    <row r="108" spans="3:11">
      <c r="C108" s="22"/>
      <c r="K108" s="22"/>
    </row>
    <row r="109" spans="3:11">
      <c r="C109" s="23"/>
      <c r="K109" s="23"/>
    </row>
    <row r="110" spans="3:11">
      <c r="C110" s="23"/>
      <c r="K110" s="23"/>
    </row>
    <row r="111" spans="3:11">
      <c r="C111" s="23"/>
      <c r="K111" s="23"/>
    </row>
    <row r="112" spans="3:11">
      <c r="C112" s="23"/>
      <c r="K112" s="23"/>
    </row>
    <row r="113" spans="3:11">
      <c r="C113" s="22"/>
      <c r="K113" s="22"/>
    </row>
    <row r="114" spans="3:11">
      <c r="C114" s="22"/>
      <c r="K114" s="22"/>
    </row>
    <row r="115" spans="3:11">
      <c r="C115" s="22"/>
      <c r="K115" s="22"/>
    </row>
    <row r="116" spans="3:11">
      <c r="C116" s="22"/>
      <c r="K116" s="22"/>
    </row>
    <row r="117" spans="3:11">
      <c r="C117" s="22"/>
      <c r="K117" s="22"/>
    </row>
    <row r="118" spans="3:11">
      <c r="C118" s="22"/>
      <c r="K118" s="22"/>
    </row>
    <row r="119" spans="3:11">
      <c r="C119" s="22"/>
      <c r="K119" s="22"/>
    </row>
    <row r="120" spans="3:11">
      <c r="C120" s="22"/>
      <c r="K120" s="22"/>
    </row>
    <row r="121" spans="3:11">
      <c r="C121" s="23"/>
      <c r="K121" s="23"/>
    </row>
    <row r="122" spans="3:11">
      <c r="C122" s="23"/>
      <c r="K122" s="23"/>
    </row>
    <row r="123" spans="3:11">
      <c r="C123" s="23"/>
      <c r="K123" s="23"/>
    </row>
    <row r="124" spans="3:11">
      <c r="C124" s="23"/>
      <c r="K124" s="23"/>
    </row>
  </sheetData>
  <mergeCells count="2">
    <mergeCell ref="C45:C47"/>
    <mergeCell ref="C54:C56"/>
  </mergeCells>
  <conditionalFormatting sqref="K44:P49">
    <cfRule type="cellIs" dxfId="5" priority="3" operator="between">
      <formula>317708</formula>
      <formula>589904</formula>
    </cfRule>
    <cfRule type="cellIs" dxfId="4" priority="4" operator="between">
      <formula>"3,17,708"</formula>
      <formula>"5,89,904"</formula>
    </cfRule>
  </conditionalFormatting>
  <conditionalFormatting sqref="K53:P58">
    <cfRule type="cellIs" dxfId="3" priority="1" operator="between">
      <formula>771</formula>
      <formula>1285</formula>
    </cfRule>
    <cfRule type="cellIs" dxfId="2" priority="2" operator="between">
      <formula>771</formula>
      <formula>1285</formula>
    </cfRule>
  </conditionalFormatting>
  <conditionalFormatting sqref="L45:P49">
    <cfRule type="cellIs" dxfId="1" priority="6" operator="between">
      <formula>635</formula>
      <formula>690</formula>
    </cfRule>
  </conditionalFormatting>
  <conditionalFormatting sqref="L54:P58">
    <cfRule type="cellIs" dxfId="0" priority="5" stopIfTrue="1" operator="between">
      <formula>20</formula>
      <formula>24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2:H21"/>
  <sheetViews>
    <sheetView topLeftCell="A13" workbookViewId="0">
      <selection activeCell="D9" sqref="D9"/>
    </sheetView>
  </sheetViews>
  <sheetFormatPr defaultColWidth="19.375" defaultRowHeight="14.25"/>
  <cols>
    <col min="1" max="1" width="18" style="19" customWidth="1"/>
    <col min="2" max="2" width="30.75" style="19" customWidth="1"/>
    <col min="3" max="3" width="14.375" style="19" customWidth="1"/>
    <col min="4" max="5" width="18" style="19" customWidth="1"/>
    <col min="6" max="6" width="15.875" style="19" customWidth="1"/>
    <col min="7" max="7" width="12.25" style="19" customWidth="1"/>
    <col min="8" max="8" width="57.25" style="19" customWidth="1"/>
    <col min="9" max="16384" width="19.375" style="19"/>
  </cols>
  <sheetData>
    <row r="2" spans="1:8" ht="37.5">
      <c r="A2" s="55" t="s">
        <v>271</v>
      </c>
      <c r="B2" s="55" t="s">
        <v>272</v>
      </c>
      <c r="C2" s="55" t="s">
        <v>273</v>
      </c>
      <c r="D2" s="55" t="s">
        <v>274</v>
      </c>
      <c r="E2" s="55" t="s">
        <v>275</v>
      </c>
      <c r="F2" s="55" t="s">
        <v>276</v>
      </c>
      <c r="G2" s="55" t="s">
        <v>277</v>
      </c>
      <c r="H2" s="55" t="s">
        <v>278</v>
      </c>
    </row>
    <row r="3" spans="1:8" ht="45.75" customHeight="1">
      <c r="A3" s="56" t="s">
        <v>279</v>
      </c>
      <c r="B3" s="35">
        <v>0.152</v>
      </c>
      <c r="C3" s="35">
        <v>0.2</v>
      </c>
      <c r="D3" s="35">
        <v>0.18</v>
      </c>
      <c r="E3" s="35">
        <v>0.15</v>
      </c>
      <c r="F3" s="35">
        <v>0.16</v>
      </c>
      <c r="G3" s="35" t="s">
        <v>280</v>
      </c>
      <c r="H3" s="35" t="s">
        <v>281</v>
      </c>
    </row>
    <row r="4" spans="1:8" ht="48.75" customHeight="1">
      <c r="A4" s="56" t="s">
        <v>282</v>
      </c>
      <c r="B4" s="35" t="s">
        <v>283</v>
      </c>
      <c r="C4" s="35" t="s">
        <v>284</v>
      </c>
      <c r="D4" s="35" t="s">
        <v>285</v>
      </c>
      <c r="E4" s="35" t="s">
        <v>286</v>
      </c>
      <c r="F4" s="35" t="s">
        <v>287</v>
      </c>
      <c r="G4" s="35" t="s">
        <v>287</v>
      </c>
      <c r="H4" s="35" t="s">
        <v>288</v>
      </c>
    </row>
    <row r="5" spans="1:8" ht="29.25" customHeight="1">
      <c r="A5" s="56" t="s">
        <v>289</v>
      </c>
      <c r="B5" s="35" t="s">
        <v>290</v>
      </c>
      <c r="C5" s="35" t="s">
        <v>291</v>
      </c>
      <c r="D5" s="35" t="s">
        <v>292</v>
      </c>
      <c r="E5" s="35" t="s">
        <v>293</v>
      </c>
      <c r="F5" s="35" t="s">
        <v>292</v>
      </c>
      <c r="G5" s="35" t="s">
        <v>294</v>
      </c>
      <c r="H5" s="35" t="s">
        <v>295</v>
      </c>
    </row>
    <row r="6" spans="1:8" ht="30.75" customHeight="1">
      <c r="A6" s="56" t="s">
        <v>296</v>
      </c>
      <c r="B6" s="35" t="s">
        <v>297</v>
      </c>
      <c r="C6" s="35" t="s">
        <v>298</v>
      </c>
      <c r="D6" s="35">
        <v>0.105</v>
      </c>
      <c r="E6" s="35" t="s">
        <v>299</v>
      </c>
      <c r="F6" s="35" t="s">
        <v>300</v>
      </c>
      <c r="G6" s="35" t="s">
        <v>287</v>
      </c>
      <c r="H6" s="35" t="s">
        <v>301</v>
      </c>
    </row>
    <row r="7" spans="1:8" ht="36.75" customHeight="1">
      <c r="A7" s="56" t="s">
        <v>302</v>
      </c>
      <c r="B7" s="35" t="s">
        <v>303</v>
      </c>
      <c r="C7" s="35" t="s">
        <v>304</v>
      </c>
      <c r="D7" s="35" t="s">
        <v>305</v>
      </c>
      <c r="E7" s="35" t="s">
        <v>306</v>
      </c>
      <c r="F7" s="35" t="s">
        <v>307</v>
      </c>
      <c r="G7" s="35" t="s">
        <v>308</v>
      </c>
      <c r="H7" s="35" t="s">
        <v>309</v>
      </c>
    </row>
    <row r="8" spans="1:8" ht="37.5" customHeight="1">
      <c r="A8" s="56" t="s">
        <v>310</v>
      </c>
      <c r="B8" s="35" t="s">
        <v>311</v>
      </c>
      <c r="C8" s="35" t="s">
        <v>312</v>
      </c>
      <c r="D8" s="35" t="s">
        <v>313</v>
      </c>
      <c r="E8" s="35" t="s">
        <v>314</v>
      </c>
      <c r="F8" s="35" t="s">
        <v>315</v>
      </c>
      <c r="G8" s="35" t="s">
        <v>316</v>
      </c>
      <c r="H8" s="35" t="s">
        <v>317</v>
      </c>
    </row>
    <row r="9" spans="1:8" ht="70.5" customHeight="1">
      <c r="A9" s="56" t="s">
        <v>318</v>
      </c>
      <c r="B9" s="35" t="s">
        <v>319</v>
      </c>
      <c r="C9" s="35" t="s">
        <v>320</v>
      </c>
      <c r="D9" s="35" t="s">
        <v>321</v>
      </c>
      <c r="E9" s="35" t="s">
        <v>322</v>
      </c>
      <c r="F9" s="35" t="s">
        <v>323</v>
      </c>
      <c r="G9" s="35" t="s">
        <v>324</v>
      </c>
      <c r="H9" s="35" t="s">
        <v>325</v>
      </c>
    </row>
    <row r="10" spans="1:8" ht="52.5" customHeight="1">
      <c r="A10" s="56" t="s">
        <v>326</v>
      </c>
      <c r="B10" s="35">
        <v>26</v>
      </c>
      <c r="C10" s="35">
        <v>42</v>
      </c>
      <c r="D10" s="35">
        <v>67</v>
      </c>
      <c r="E10" s="35">
        <v>54</v>
      </c>
      <c r="F10" s="35">
        <v>32</v>
      </c>
      <c r="G10" s="35" t="s">
        <v>327</v>
      </c>
      <c r="H10" s="35" t="s">
        <v>328</v>
      </c>
    </row>
    <row r="11" spans="1:8" ht="55.5" customHeight="1">
      <c r="A11" s="56" t="s">
        <v>329</v>
      </c>
      <c r="B11" s="35" t="s">
        <v>330</v>
      </c>
      <c r="C11" s="35" t="s">
        <v>331</v>
      </c>
      <c r="D11" s="35" t="s">
        <v>332</v>
      </c>
      <c r="E11" s="35" t="s">
        <v>333</v>
      </c>
      <c r="F11" s="35" t="s">
        <v>334</v>
      </c>
      <c r="G11" s="35" t="s">
        <v>335</v>
      </c>
      <c r="H11" s="35" t="s">
        <v>336</v>
      </c>
    </row>
    <row r="12" spans="1:8" ht="35.25" customHeight="1">
      <c r="A12" s="56" t="s">
        <v>337</v>
      </c>
      <c r="B12" s="35">
        <v>30.2</v>
      </c>
      <c r="C12" s="35">
        <v>54.9</v>
      </c>
      <c r="D12" s="35">
        <v>15.3</v>
      </c>
      <c r="E12" s="35">
        <v>30.9</v>
      </c>
      <c r="F12" s="35">
        <v>20.6</v>
      </c>
      <c r="G12" s="35" t="s">
        <v>338</v>
      </c>
      <c r="H12" s="35" t="s">
        <v>339</v>
      </c>
    </row>
    <row r="13" spans="1:8" ht="31.5" customHeight="1">
      <c r="A13" s="56" t="s">
        <v>340</v>
      </c>
      <c r="B13" s="35">
        <v>1.95</v>
      </c>
      <c r="C13" s="35">
        <v>5.47</v>
      </c>
      <c r="D13" s="35">
        <v>1</v>
      </c>
      <c r="E13" s="35" t="s">
        <v>341</v>
      </c>
      <c r="F13" s="35">
        <v>1.1399999999999999</v>
      </c>
      <c r="G13" s="35" t="s">
        <v>342</v>
      </c>
      <c r="H13" s="35" t="s">
        <v>343</v>
      </c>
    </row>
    <row r="14" spans="1:8" ht="34.5" customHeight="1">
      <c r="A14" s="56" t="s">
        <v>344</v>
      </c>
      <c r="B14" s="35">
        <v>55.4</v>
      </c>
      <c r="C14" s="35">
        <v>89</v>
      </c>
      <c r="D14" s="35">
        <v>20.2</v>
      </c>
      <c r="E14" s="35">
        <v>54.6</v>
      </c>
      <c r="F14" s="35">
        <v>28.8</v>
      </c>
      <c r="G14" s="35" t="s">
        <v>345</v>
      </c>
      <c r="H14" s="35" t="s">
        <v>346</v>
      </c>
    </row>
    <row r="15" spans="1:8" ht="30" customHeight="1">
      <c r="A15" s="56" t="s">
        <v>347</v>
      </c>
      <c r="B15" s="35">
        <v>9.6999999999999993</v>
      </c>
      <c r="C15" s="35">
        <v>19.399999999999999</v>
      </c>
      <c r="D15" s="35">
        <v>2.4</v>
      </c>
      <c r="E15" s="35">
        <v>8.6</v>
      </c>
      <c r="F15" s="35">
        <v>5</v>
      </c>
      <c r="G15" s="35">
        <v>45881</v>
      </c>
      <c r="H15" s="35" t="s">
        <v>348</v>
      </c>
    </row>
    <row r="16" spans="1:8" ht="28.5" customHeight="1">
      <c r="A16" s="56" t="s">
        <v>349</v>
      </c>
      <c r="B16" s="35" t="s">
        <v>341</v>
      </c>
      <c r="C16" s="35" t="s">
        <v>350</v>
      </c>
      <c r="D16" s="35">
        <v>1.3</v>
      </c>
      <c r="E16" s="35">
        <v>0.73</v>
      </c>
      <c r="F16" s="35">
        <v>0.87</v>
      </c>
      <c r="G16" s="35" t="s">
        <v>351</v>
      </c>
      <c r="H16" s="35" t="s">
        <v>352</v>
      </c>
    </row>
    <row r="17" spans="1:8" ht="39.75" customHeight="1">
      <c r="A17" s="56" t="s">
        <v>353</v>
      </c>
      <c r="B17" s="35" t="s">
        <v>354</v>
      </c>
      <c r="C17" s="35" t="s">
        <v>355</v>
      </c>
      <c r="D17" s="35" t="s">
        <v>356</v>
      </c>
      <c r="E17" s="35">
        <v>0.96</v>
      </c>
      <c r="F17" s="35" t="s">
        <v>357</v>
      </c>
      <c r="G17" s="35" t="s">
        <v>358</v>
      </c>
      <c r="H17" s="35" t="s">
        <v>359</v>
      </c>
    </row>
    <row r="18" spans="1:8" ht="36.75" customHeight="1">
      <c r="A18" s="56" t="s">
        <v>360</v>
      </c>
      <c r="B18" s="35">
        <v>1</v>
      </c>
      <c r="C18" s="35">
        <v>1</v>
      </c>
      <c r="D18" s="35">
        <v>1</v>
      </c>
      <c r="E18" s="35">
        <v>1</v>
      </c>
      <c r="F18" s="35">
        <v>1</v>
      </c>
      <c r="G18" s="35">
        <v>1</v>
      </c>
      <c r="H18" s="35" t="s">
        <v>361</v>
      </c>
    </row>
    <row r="19" spans="1:8" ht="33.75" customHeight="1">
      <c r="A19" s="56" t="s">
        <v>362</v>
      </c>
      <c r="B19" s="35">
        <v>0.192</v>
      </c>
      <c r="C19" s="35" t="s">
        <v>363</v>
      </c>
      <c r="D19" s="35">
        <v>0.109</v>
      </c>
      <c r="E19" s="35">
        <v>7.9000000000000001E-2</v>
      </c>
      <c r="F19" s="35" t="s">
        <v>314</v>
      </c>
      <c r="G19" s="35" t="s">
        <v>364</v>
      </c>
      <c r="H19" s="35" t="s">
        <v>365</v>
      </c>
    </row>
    <row r="20" spans="1:8" ht="32.25" customHeight="1">
      <c r="A20" s="56" t="s">
        <v>366</v>
      </c>
      <c r="B20" s="35" t="s">
        <v>367</v>
      </c>
      <c r="C20" s="35" t="s">
        <v>368</v>
      </c>
      <c r="D20" s="35" t="s">
        <v>369</v>
      </c>
      <c r="E20" s="35" t="s">
        <v>370</v>
      </c>
      <c r="F20" s="35" t="s">
        <v>371</v>
      </c>
      <c r="G20" s="35" t="s">
        <v>372</v>
      </c>
      <c r="H20" s="35" t="s">
        <v>373</v>
      </c>
    </row>
    <row r="21" spans="1:8" ht="33.75" customHeight="1">
      <c r="A21" s="56" t="s">
        <v>374</v>
      </c>
      <c r="B21" s="35">
        <v>116</v>
      </c>
      <c r="C21" s="35">
        <v>199</v>
      </c>
      <c r="D21" s="35">
        <v>217</v>
      </c>
      <c r="E21" s="35">
        <v>162</v>
      </c>
      <c r="F21" s="35">
        <v>94</v>
      </c>
      <c r="G21" s="35" t="s">
        <v>375</v>
      </c>
      <c r="H21" s="35" t="s">
        <v>376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31"/>
  <sheetViews>
    <sheetView showGridLines="0" tabSelected="1" topLeftCell="A25" workbookViewId="0">
      <selection activeCell="A31" sqref="A31:E31"/>
    </sheetView>
  </sheetViews>
  <sheetFormatPr defaultRowHeight="14.25"/>
  <cols>
    <col min="1" max="1" width="26.375" customWidth="1"/>
    <col min="2" max="2" width="16.125" customWidth="1"/>
    <col min="3" max="3" width="10.75" customWidth="1"/>
    <col min="4" max="5" width="12.375" customWidth="1"/>
  </cols>
  <sheetData>
    <row r="1" spans="1:5" ht="18.75">
      <c r="A1" s="48" t="s">
        <v>465</v>
      </c>
      <c r="B1" s="1"/>
    </row>
    <row r="2" spans="1:5" ht="30.75" customHeight="1">
      <c r="A2" s="27" t="s">
        <v>412</v>
      </c>
      <c r="B2" s="27" t="s">
        <v>413</v>
      </c>
      <c r="C2" s="27" t="s">
        <v>414</v>
      </c>
      <c r="D2" s="27" t="s">
        <v>415</v>
      </c>
      <c r="E2" s="27" t="s">
        <v>416</v>
      </c>
    </row>
    <row r="3" spans="1:5" ht="15.75">
      <c r="A3" s="42" t="s">
        <v>417</v>
      </c>
      <c r="B3" s="43">
        <v>45708</v>
      </c>
      <c r="C3" s="44">
        <v>1850</v>
      </c>
      <c r="D3" s="42" t="s">
        <v>418</v>
      </c>
      <c r="E3" s="42" t="s">
        <v>419</v>
      </c>
    </row>
    <row r="4" spans="1:5" ht="15.75">
      <c r="A4" s="45" t="s">
        <v>420</v>
      </c>
      <c r="B4" s="46">
        <v>45953</v>
      </c>
      <c r="C4" s="45">
        <v>800</v>
      </c>
      <c r="D4" s="45" t="s">
        <v>421</v>
      </c>
      <c r="E4" s="45" t="s">
        <v>422</v>
      </c>
    </row>
    <row r="5" spans="1:5" ht="36.75" customHeight="1">
      <c r="A5" s="45" t="s">
        <v>423</v>
      </c>
      <c r="B5" s="46">
        <v>45738</v>
      </c>
      <c r="C5" s="45">
        <v>450</v>
      </c>
      <c r="D5" s="45" t="s">
        <v>424</v>
      </c>
      <c r="E5" s="45" t="s">
        <v>425</v>
      </c>
    </row>
    <row r="6" spans="1:5" ht="25.5" customHeight="1">
      <c r="A6" s="45" t="s">
        <v>426</v>
      </c>
      <c r="B6" s="46">
        <v>45859</v>
      </c>
      <c r="C6" s="45">
        <v>120</v>
      </c>
      <c r="D6" s="45" t="s">
        <v>427</v>
      </c>
      <c r="E6" s="45" t="s">
        <v>428</v>
      </c>
    </row>
    <row r="7" spans="1:5" ht="20.25" customHeight="1">
      <c r="A7" s="45" t="s">
        <v>429</v>
      </c>
      <c r="B7" s="46">
        <v>45768</v>
      </c>
      <c r="C7" s="45">
        <v>350</v>
      </c>
      <c r="D7" s="45" t="s">
        <v>430</v>
      </c>
      <c r="E7" s="45" t="s">
        <v>431</v>
      </c>
    </row>
    <row r="8" spans="1:5" ht="24.75" customHeight="1">
      <c r="A8" s="47" t="s">
        <v>432</v>
      </c>
      <c r="B8" s="45"/>
      <c r="C8" s="45"/>
      <c r="D8" s="47" t="s">
        <v>433</v>
      </c>
      <c r="E8" s="47" t="s">
        <v>434</v>
      </c>
    </row>
    <row r="11" spans="1:5" ht="15.75">
      <c r="A11" s="38" t="s">
        <v>435</v>
      </c>
      <c r="B11" s="38" t="s">
        <v>436</v>
      </c>
      <c r="C11" s="38" t="s">
        <v>437</v>
      </c>
    </row>
    <row r="12" spans="1:5" ht="15.75">
      <c r="A12" s="42" t="s">
        <v>386</v>
      </c>
      <c r="B12" s="44">
        <v>25045</v>
      </c>
      <c r="C12" s="44">
        <v>28131</v>
      </c>
    </row>
    <row r="13" spans="1:5" ht="15.75">
      <c r="A13" s="45" t="s">
        <v>387</v>
      </c>
      <c r="B13" s="49">
        <v>3350</v>
      </c>
      <c r="C13" s="49">
        <v>4500</v>
      </c>
    </row>
    <row r="14" spans="1:5" ht="15.75">
      <c r="A14" s="45" t="s">
        <v>438</v>
      </c>
      <c r="B14" s="49">
        <v>52600</v>
      </c>
      <c r="C14" s="49">
        <v>59100</v>
      </c>
    </row>
    <row r="15" spans="1:5" ht="38.25" customHeight="1">
      <c r="A15" s="45" t="s">
        <v>439</v>
      </c>
      <c r="B15" s="49">
        <v>46900</v>
      </c>
      <c r="C15" s="49">
        <v>63000</v>
      </c>
    </row>
    <row r="16" spans="1:5" ht="22.5" customHeight="1">
      <c r="A16" s="47" t="s">
        <v>440</v>
      </c>
      <c r="B16" s="50">
        <v>49750</v>
      </c>
      <c r="C16" s="50">
        <v>61050</v>
      </c>
    </row>
    <row r="17" spans="1:28" ht="39" customHeight="1">
      <c r="A17" s="45" t="s">
        <v>441</v>
      </c>
      <c r="B17" s="45" t="s">
        <v>442</v>
      </c>
      <c r="C17" s="45" t="s">
        <v>443</v>
      </c>
    </row>
    <row r="18" spans="1:28" ht="28.5" customHeight="1">
      <c r="A18" s="47" t="s">
        <v>444</v>
      </c>
      <c r="B18" s="50">
        <v>51119</v>
      </c>
      <c r="C18" s="50">
        <v>66050</v>
      </c>
    </row>
    <row r="19" spans="1:28" ht="15.75">
      <c r="A19" s="47" t="s">
        <v>445</v>
      </c>
      <c r="B19" s="47" t="s">
        <v>446</v>
      </c>
      <c r="C19" s="47" t="s">
        <v>447</v>
      </c>
    </row>
    <row r="21" spans="1:28" ht="47.25">
      <c r="A21" s="38" t="s">
        <v>412</v>
      </c>
      <c r="B21" s="38" t="s">
        <v>448</v>
      </c>
      <c r="C21" s="38" t="s">
        <v>449</v>
      </c>
      <c r="D21" s="38" t="s">
        <v>450</v>
      </c>
      <c r="E21" s="38" t="s">
        <v>415</v>
      </c>
      <c r="F21" s="38" t="s">
        <v>416</v>
      </c>
    </row>
    <row r="22" spans="1:28" ht="15.75">
      <c r="A22" s="51" t="s">
        <v>451</v>
      </c>
      <c r="B22" s="52">
        <v>1950</v>
      </c>
      <c r="C22" s="51">
        <v>430</v>
      </c>
      <c r="D22" s="51">
        <v>88</v>
      </c>
      <c r="E22" s="51" t="s">
        <v>418</v>
      </c>
      <c r="F22" s="51" t="s">
        <v>452</v>
      </c>
    </row>
    <row r="23" spans="1:28" ht="51" customHeight="1">
      <c r="A23" s="53" t="s">
        <v>453</v>
      </c>
      <c r="B23" s="53">
        <v>900</v>
      </c>
      <c r="C23" s="54">
        <v>1250</v>
      </c>
      <c r="D23" s="53">
        <v>75</v>
      </c>
      <c r="E23" s="53" t="s">
        <v>454</v>
      </c>
      <c r="F23" s="53" t="s">
        <v>455</v>
      </c>
    </row>
    <row r="24" spans="1:28" ht="31.5">
      <c r="A24" s="53" t="s">
        <v>456</v>
      </c>
      <c r="B24" s="53">
        <v>520</v>
      </c>
      <c r="C24" s="53">
        <v>700</v>
      </c>
      <c r="D24" s="53">
        <v>35</v>
      </c>
      <c r="E24" s="53" t="s">
        <v>457</v>
      </c>
      <c r="F24" s="53" t="s">
        <v>458</v>
      </c>
    </row>
    <row r="25" spans="1:28" ht="31.5">
      <c r="A25" s="53" t="s">
        <v>459</v>
      </c>
      <c r="B25" s="53">
        <v>150</v>
      </c>
      <c r="C25" s="53">
        <v>220</v>
      </c>
      <c r="D25" s="53">
        <v>15</v>
      </c>
      <c r="E25" s="53" t="s">
        <v>460</v>
      </c>
      <c r="F25" s="53" t="s">
        <v>461</v>
      </c>
    </row>
    <row r="26" spans="1:28" ht="15.75">
      <c r="A26" s="53" t="s">
        <v>462</v>
      </c>
      <c r="B26" s="53">
        <v>400</v>
      </c>
      <c r="C26" s="53">
        <v>900</v>
      </c>
      <c r="D26" s="53">
        <v>38</v>
      </c>
      <c r="E26" s="53" t="s">
        <v>463</v>
      </c>
      <c r="F26" s="53" t="s">
        <v>464</v>
      </c>
    </row>
    <row r="28" spans="1:28" ht="15.75">
      <c r="A28" s="40" t="s">
        <v>466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15.75">
      <c r="A29" s="4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ht="89.25" customHeight="1">
      <c r="A30" s="449" t="s">
        <v>604</v>
      </c>
      <c r="B30" s="449"/>
      <c r="C30" s="449"/>
      <c r="D30" s="449"/>
      <c r="E30" s="44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ht="84" customHeight="1">
      <c r="A31" s="449" t="s">
        <v>605</v>
      </c>
      <c r="B31" s="449"/>
      <c r="C31" s="449"/>
      <c r="D31" s="449"/>
      <c r="E31" s="44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</sheetData>
  <mergeCells count="2">
    <mergeCell ref="A30:E30"/>
    <mergeCell ref="A31:E31"/>
  </mergeCells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1:K14"/>
  <sheetViews>
    <sheetView zoomScale="90" zoomScaleNormal="90" workbookViewId="0">
      <selection activeCell="C1" sqref="C1"/>
    </sheetView>
  </sheetViews>
  <sheetFormatPr defaultRowHeight="14.25"/>
  <cols>
    <col min="2" max="2" width="18.25" customWidth="1"/>
    <col min="3" max="3" width="16" customWidth="1"/>
    <col min="4" max="4" width="15" bestFit="1" customWidth="1"/>
    <col min="5" max="5" width="14.875" customWidth="1"/>
    <col min="6" max="6" width="15.25" customWidth="1"/>
    <col min="7" max="7" width="20.375" customWidth="1"/>
    <col min="8" max="8" width="14.375" customWidth="1"/>
    <col min="9" max="9" width="11.375" bestFit="1" customWidth="1"/>
    <col min="10" max="10" width="16" customWidth="1"/>
    <col min="11" max="11" width="12.875" customWidth="1"/>
    <col min="12" max="12" width="9.875" bestFit="1" customWidth="1"/>
  </cols>
  <sheetData>
    <row r="1" spans="2:11" ht="31.5">
      <c r="B1" s="40" t="s">
        <v>474</v>
      </c>
      <c r="C1" s="435" t="s">
        <v>608</v>
      </c>
      <c r="D1" s="436" t="s">
        <v>467</v>
      </c>
      <c r="E1" s="436" t="s">
        <v>468</v>
      </c>
      <c r="F1" s="436" t="s">
        <v>469</v>
      </c>
      <c r="G1" s="436" t="s">
        <v>470</v>
      </c>
      <c r="H1" s="436" t="s">
        <v>471</v>
      </c>
      <c r="I1" s="436" t="s">
        <v>472</v>
      </c>
      <c r="J1" s="436" t="s">
        <v>136</v>
      </c>
      <c r="K1" s="436" t="s">
        <v>473</v>
      </c>
    </row>
    <row r="2" spans="2:11" ht="15.75">
      <c r="B2" s="20"/>
      <c r="C2" s="427"/>
      <c r="D2" s="428">
        <f>CHOOSE(MATCH($C$1,{"Bear","Base","Bull"},0),9%,10.2%,13%)</f>
        <v>0.10199999999999999</v>
      </c>
      <c r="E2" s="428">
        <f>CHOOSE(MATCH($C$1,{"Bear","Base","Bull"},0),48%,58.1%,62%)</f>
        <v>0.58099999999999996</v>
      </c>
      <c r="F2" s="429">
        <f>CHOOSE(MATCH($C$1,{"Bear","Base","Bull"},0),120,95,80)</f>
        <v>95</v>
      </c>
      <c r="G2" s="429">
        <f>CHOOSE(MATCH($C$1,{"Bear","Base","Bull"},0),150,90,60)</f>
        <v>90</v>
      </c>
      <c r="H2" s="428">
        <f>CHOOSE(MATCH($C$1,{"Bear","Base","Bull"},0),5.5%,6.5%,7%)</f>
        <v>6.5000000000000002E-2</v>
      </c>
      <c r="I2" s="428">
        <f>CHOOSE(MATCH($C$1,{"Bear","Base","Bull"},0),4%,5%,6%)</f>
        <v>0.05</v>
      </c>
      <c r="J2" s="428">
        <f>CHOOSE(MATCH($C$1,{"Bear","Base","Bull"},0),13%,12%,11.5%)</f>
        <v>0.12</v>
      </c>
      <c r="K2" s="430">
        <f>CHOOSE(MATCH($C$1,{"Bear","Base","Bull"},0),45000,70009,90000)</f>
        <v>70009</v>
      </c>
    </row>
    <row r="3" spans="2:11" ht="15.75">
      <c r="B3" s="20"/>
      <c r="C3" s="36" t="s">
        <v>252</v>
      </c>
      <c r="D3" s="431">
        <f>CHOOSE(MATCH($C$1,{"Bear","Base","Bull"},0),260890,364937,635210)</f>
        <v>364937</v>
      </c>
      <c r="E3" s="20"/>
      <c r="F3" s="156" t="s">
        <v>601</v>
      </c>
      <c r="G3" s="20"/>
      <c r="H3" s="20"/>
      <c r="I3" s="20"/>
      <c r="J3" s="20"/>
      <c r="K3" s="20"/>
    </row>
    <row r="4" spans="2:11" ht="15.75">
      <c r="B4" s="20"/>
      <c r="C4" s="36" t="s">
        <v>253</v>
      </c>
      <c r="D4" s="431">
        <f>CHOOSE(MATCH($C$1,{"Bear","Base","Bull"},0),25082,40763,52912)</f>
        <v>40763</v>
      </c>
      <c r="E4" s="20"/>
      <c r="F4" s="432" t="s">
        <v>597</v>
      </c>
      <c r="G4" s="437">
        <f>CHOOSE(MATCH($C$1,{"Bear","Base","Bull"},0),3.5%,4.5%,5.5%)</f>
        <v>4.4999999999999998E-2</v>
      </c>
      <c r="H4" s="437">
        <f>CHOOSE(MATCH($C$1,{"Bear","Base","Bull"},0),4%,5%,6%)</f>
        <v>0.05</v>
      </c>
      <c r="I4" s="437">
        <f>CHOOSE(MATCH($C$1,{"Bear","Base","Bull"},0),4.5%,5.5%,6.5%)</f>
        <v>5.5E-2</v>
      </c>
      <c r="J4" s="437">
        <f>CHOOSE(MATCH($C$1,{"Bear","Base","Bull"},0),0,0,7%)</f>
        <v>0</v>
      </c>
      <c r="K4" s="20"/>
    </row>
    <row r="5" spans="2:11" ht="15.75">
      <c r="B5" s="20"/>
      <c r="C5" s="36" t="s">
        <v>588</v>
      </c>
      <c r="D5" s="431">
        <f>CHOOSE(MATCH($C$1,{"Bear","Base","Bull"},0),9011,18892,26121)</f>
        <v>18892</v>
      </c>
      <c r="E5" s="20"/>
      <c r="F5" s="433">
        <f>CHOOSE(MATCH($C$1,{"Bear","Base","Bull"},0),13%,11.5%,10.5%)</f>
        <v>0.115</v>
      </c>
      <c r="G5" s="438">
        <f>CHOOSE(MATCH($C$1,{"Bear","Base","Bull"},0),343,483,756)</f>
        <v>483</v>
      </c>
      <c r="H5" s="438">
        <f>CHOOSE(MATCH($C$1,{"Bear","Base","Bull"},0),360,514,823)</f>
        <v>514</v>
      </c>
      <c r="I5" s="438">
        <f>CHOOSE(MATCH($C$1,{"Bear","Base","Bull"},0),378,549,901)</f>
        <v>549</v>
      </c>
      <c r="J5" s="439">
        <f>CHOOSE(MATCH($C$1,{"Bear","Base","Bull"},0),0,0,965)</f>
        <v>0</v>
      </c>
      <c r="K5" s="20"/>
    </row>
    <row r="6" spans="2:11" ht="15.75">
      <c r="B6" s="20"/>
      <c r="C6" s="36" t="s">
        <v>589</v>
      </c>
      <c r="D6" s="431">
        <f>CHOOSE(MATCH($C$1,{"Bear","Base","Bull"},0),10875,21753,30056)</f>
        <v>21753</v>
      </c>
      <c r="E6" s="20"/>
      <c r="F6" s="433">
        <f>CHOOSE(MATCH($C$1,{"Bear","Base","Bull"},0),13.5%,12%,11%)</f>
        <v>0.12</v>
      </c>
      <c r="G6" s="438">
        <f>CHOOSE(MATCH($C$1,{"Bear","Base","Bull"},0),326,443,686)</f>
        <v>443</v>
      </c>
      <c r="H6" s="438">
        <f>CHOOSE(MATCH($C$1,{"Bear","Base","Bull"},0),358,459,720)</f>
        <v>459</v>
      </c>
      <c r="I6" s="438">
        <f>CHOOSE(MATCH($C$1,{"Bear","Base","Bull"},0),375,505,785)</f>
        <v>505</v>
      </c>
      <c r="J6" s="439">
        <f>CHOOSE(MATCH($C$1,{"Bear","Base","Bull"},0),0,0,860)</f>
        <v>0</v>
      </c>
      <c r="K6" s="20"/>
    </row>
    <row r="7" spans="2:11" ht="15.75">
      <c r="B7" s="20"/>
      <c r="C7" s="34" t="s">
        <v>590</v>
      </c>
      <c r="D7" s="431">
        <f>CHOOSE(MATCH($C$1,{"Bear","Base","Bull"},0),69503,104254,135278)</f>
        <v>104254</v>
      </c>
      <c r="E7" s="20"/>
      <c r="F7" s="433">
        <f>CHOOSE(MATCH($C$1,{"Bear","Base","Bull"},0),14%,12.5%,11.5%)</f>
        <v>0.125</v>
      </c>
      <c r="G7" s="438">
        <f>CHOOSE(MATCH($C$1,{"Bear","Base","Bull"},0),310,449,623)</f>
        <v>449</v>
      </c>
      <c r="H7" s="438">
        <f>CHOOSE(MATCH($C$1,{"Bear","Base","Bull"},0),345,475,671)</f>
        <v>475</v>
      </c>
      <c r="I7" s="438">
        <f>CHOOSE(MATCH($C$1,{"Bear","Base","Bull"},0),357,505,728)</f>
        <v>505</v>
      </c>
      <c r="J7" s="439">
        <f>CHOOSE(MATCH($C$1,{"Bear","Base","Bull"},0),0,0,769)</f>
        <v>0</v>
      </c>
      <c r="K7" s="20"/>
    </row>
    <row r="8" spans="2:11" ht="15.75">
      <c r="B8" s="156" t="s">
        <v>598</v>
      </c>
      <c r="C8" s="36" t="s">
        <v>437</v>
      </c>
      <c r="D8" s="431">
        <f>CHOOSE(MATCH($C$1,{"Bear","Base","Bull"},0),12450,18675,24188)</f>
        <v>18675</v>
      </c>
      <c r="E8" s="20"/>
      <c r="F8" s="20"/>
      <c r="G8" s="20"/>
      <c r="H8" s="20"/>
      <c r="I8" s="20"/>
      <c r="J8" s="20"/>
      <c r="K8" s="20"/>
    </row>
    <row r="9" spans="2:11" ht="36" customHeight="1">
      <c r="B9" s="20"/>
      <c r="C9" s="36" t="s">
        <v>525</v>
      </c>
      <c r="D9" s="431">
        <f>CHOOSE(MATCH($C$1,{"Bear","Base","Bull"},0),14516,24227,31500)</f>
        <v>24227</v>
      </c>
      <c r="E9" s="20"/>
      <c r="F9" s="156" t="s">
        <v>599</v>
      </c>
      <c r="G9" s="36" t="s">
        <v>591</v>
      </c>
      <c r="H9" s="431">
        <f>CHOOSE(MATCH($C$1,{"Bear","Base","Bull"},0),459794,643144,1021520)</f>
        <v>643144</v>
      </c>
      <c r="I9" s="156" t="s">
        <v>600</v>
      </c>
      <c r="J9" s="34" t="s">
        <v>146</v>
      </c>
      <c r="K9" s="434">
        <f>CHOOSE(MATCH($C$1,{"Bear","Base","Bull"},0),365144,469191,739464)</f>
        <v>469191</v>
      </c>
    </row>
    <row r="10" spans="2:11" ht="21" customHeight="1">
      <c r="B10" s="20"/>
      <c r="C10" s="36" t="s">
        <v>526</v>
      </c>
      <c r="D10" s="431">
        <f>CHOOSE(MATCH($C$1,{"Bear","Base","Bull"},0),16779,31246,40808)</f>
        <v>31246</v>
      </c>
      <c r="E10" s="20"/>
      <c r="F10" s="20"/>
      <c r="G10" s="36" t="s">
        <v>592</v>
      </c>
      <c r="H10" s="431">
        <f>CHOOSE(MATCH($C$1,{"Bear","Base","Bull"},0),260890,364937,635210)</f>
        <v>364937</v>
      </c>
      <c r="I10" s="20"/>
      <c r="J10" s="36" t="s">
        <v>594</v>
      </c>
      <c r="K10" s="434">
        <f>CHOOSE(MATCH($C$1,{"Bear","Base","Bull"},0),1369,1369,1369)</f>
        <v>1369</v>
      </c>
    </row>
    <row r="11" spans="2:11" ht="36" customHeight="1">
      <c r="B11" s="20"/>
      <c r="C11" s="36" t="s">
        <v>527</v>
      </c>
      <c r="D11" s="431">
        <f>CHOOSE(MATCH($C$1,{"Bear","Base","Bull"},0),18424,34141,44555)</f>
        <v>34141</v>
      </c>
      <c r="E11" s="20"/>
      <c r="F11" s="20"/>
      <c r="G11" s="36" t="s">
        <v>593</v>
      </c>
      <c r="H11" s="431">
        <f>CHOOSE(MATCH($C$1,{"Bear","Base","Bull"},0),104254,104254,104254)</f>
        <v>104254</v>
      </c>
      <c r="I11" s="20"/>
      <c r="J11" s="36" t="s">
        <v>587</v>
      </c>
      <c r="K11" s="434">
        <f>CHOOSE(MATCH($C$1,{"Bear","Base","Bull"},0),6031,6031,6031)</f>
        <v>6031</v>
      </c>
    </row>
    <row r="12" spans="2:11" ht="27" customHeight="1">
      <c r="B12" s="20"/>
      <c r="C12" s="36" t="s">
        <v>12</v>
      </c>
      <c r="D12" s="431">
        <f>CHOOSE(MATCH($C$1,{"Bear","Base","Bull"},0),10875,21753,135278)</f>
        <v>21753</v>
      </c>
      <c r="E12" s="20"/>
      <c r="F12" s="20"/>
      <c r="G12" s="20"/>
      <c r="H12" s="20"/>
      <c r="I12" s="20"/>
      <c r="J12" s="34" t="s">
        <v>444</v>
      </c>
      <c r="K12" s="434">
        <f>CHOOSE(MATCH($C$1,{"Bear","Base","Bull"},0),369806,473853,744126)</f>
        <v>473853</v>
      </c>
    </row>
    <row r="13" spans="2:11" ht="36" customHeight="1">
      <c r="B13" s="20"/>
      <c r="C13" s="40"/>
      <c r="D13" s="327"/>
      <c r="E13" s="20"/>
      <c r="F13" s="20"/>
      <c r="G13" s="20"/>
      <c r="H13" s="20"/>
      <c r="I13" s="20"/>
      <c r="J13" s="36" t="s">
        <v>595</v>
      </c>
      <c r="K13" s="434">
        <f>CHOOSE(MATCH($C$1,{"Bear","Base","Bull"},0),358,459,720)</f>
        <v>459</v>
      </c>
    </row>
    <row r="14" spans="2:11" ht="33" customHeight="1">
      <c r="B14" s="156"/>
      <c r="C14" s="39"/>
      <c r="D14" s="352"/>
      <c r="E14" s="20"/>
      <c r="F14" s="20"/>
      <c r="G14" s="20"/>
      <c r="H14" s="20"/>
      <c r="I14" s="20"/>
      <c r="J14" s="36" t="s">
        <v>596</v>
      </c>
      <c r="K14" s="433">
        <f>CHOOSE(MATCH($C$1,{"Bear","Base","Bull"},0),-65%,-56%,30%)</f>
        <v>-0.56000000000000005</v>
      </c>
    </row>
  </sheetData>
  <dataValidations count="1">
    <dataValidation type="list" allowBlank="1" showInputMessage="1" showErrorMessage="1" sqref="C1">
      <formula1>"Bear,Base,Bull"</formula1>
    </dataValidation>
  </dataValidation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Assumptions </vt:lpstr>
      <vt:lpstr>Revenue-Built-up</vt:lpstr>
      <vt:lpstr>Cost-Built up</vt:lpstr>
      <vt:lpstr>Income Statement </vt:lpstr>
      <vt:lpstr>Balance Sheet </vt:lpstr>
      <vt:lpstr>Asset Schedule (brief)</vt:lpstr>
      <vt:lpstr>Asset Schedule (Working)</vt:lpstr>
      <vt:lpstr>Loans and Advances </vt:lpstr>
      <vt:lpstr>Tax Schedule</vt:lpstr>
      <vt:lpstr>Equity Schedule</vt:lpstr>
      <vt:lpstr>Cash Flow Statement</vt:lpstr>
      <vt:lpstr>Ratio Anaysis</vt:lpstr>
      <vt:lpstr>Valuations</vt:lpstr>
      <vt:lpstr>Comparative Analysis</vt:lpstr>
      <vt:lpstr>Precedent Transaction Analysis </vt:lpstr>
      <vt:lpstr>Scenario AnalysisBear,Base,Bull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Teja Yadav</dc:creator>
  <cp:lastModifiedBy>My PC</cp:lastModifiedBy>
  <dcterms:created xsi:type="dcterms:W3CDTF">2025-11-22T16:38:40Z</dcterms:created>
  <dcterms:modified xsi:type="dcterms:W3CDTF">2025-12-10T17:11:30Z</dcterms:modified>
</cp:coreProperties>
</file>